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Fälle" sheetId="2" state="visible" r:id="rId4"/>
    <sheet name="Regeln" sheetId="3" state="visible" r:id="rId5"/>
    <sheet name="Auswertung" sheetId="4" state="visible" r:id="rId6"/>
    <sheet name="List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<sst xmlns="http://schemas.openxmlformats.org/spreadsheetml/2006/main" count="414" uniqueCount="283">
  <si>
    <t xml:space="preserve">Entscheidungsbaum Zählerschrank – Praxistest (Pilot: Westnetz)</t>
  </si>
  <si>
    <t xml:space="preserve">Zweck: Prüfen, ob ein einfacher Regelbaum bei deinen realen Schränken zur gleichen Entscheidung kommt wie du. Erst wenn das klappt, lohnt sich Software.</t>
  </si>
  <si>
    <t xml:space="preserve">So gehst du vor</t>
  </si>
  <si>
    <t xml:space="preserve">1. Blatt „Fälle“: pro realem Zählerschrank eine Zeile. Nur die gelben Zellen ausfüllen, fast alles per Auswahlliste.</t>
  </si>
  <si>
    <t xml:space="preserve">2. In Spalte „DEINE tatsächliche Entscheidung“ einträgst, was du wirklich gemacht hast bzw. was der Netzbetreiber verlangt hat.</t>
  </si>
  <si>
    <t xml:space="preserve">3. Die grauen Spalten rechnen selbst: welche Regeln greifen, Ampel des Tools, Treffer ja/nein.</t>
  </si>
  <si>
    <t xml:space="preserve">4. Stimmt ein Fall nicht: Im Blatt „Regeln“ die Stufe anpassen oder die fehlende Regel in „Deine Notiz“ beschreiben – das ist der eigentliche Erkenntnisgewinn.</t>
  </si>
  <si>
    <t xml:space="preserve">5. Blatt „Auswertung“: Trefferquote, Abweichungsmatrix, Häufigkeit je Regel und die Go/No-Go-Kriterien (Interviews und Warteliste dort eintragen).</t>
  </si>
  <si>
    <t xml:space="preserve">Farben</t>
  </si>
  <si>
    <t xml:space="preserve">Gelbe Zelle, blaue Schrift = Eingabe von dir.   Graue Zelle = Formel, nicht überschreiben.   Grüne Schrift = Verweis auf ein anderes Blatt.</t>
  </si>
  <si>
    <t xml:space="preserve">Begriffe</t>
  </si>
  <si>
    <t xml:space="preserve">SteuVE = steuerbare Verbrauchseinrichtung nach §14a EnWG (Wallbox, Wärmepumpe, Klimagerät, Speicher) ab 4,2 kW. PV ist KEINE SteuVE, sie läuft über EEG / Solarspitzengesetz.</t>
  </si>
  <si>
    <t xml:space="preserve">APZ = Raum für den Abschlusspunkt Zählerplatz; RfZ = Raum für Zusatzanwendungen (SMGW, Steuerbox). AAR = anlagenseitiger Anschlussraum.</t>
  </si>
  <si>
    <t xml:space="preserve">Stufe: 0 = Hinweis (ändert die Ampel nicht), 1 = Nachrüsten, 2 = Austausch. Das Tool-Ergebnis ist die höchste ausgelöste Stufe.</t>
  </si>
  <si>
    <t xml:space="preserve">Wichtig</t>
  </si>
  <si>
    <t xml:space="preserve">Die 26 Regeln sind teils mit Westnetz-/BDEW-Unterlagen belegt, teils noch Entwurf – siehe Spalte „Status“ im Blatt „Regeln“. Grundlage: TAB NS Westnetz 01.09.2025, Westnetz-Anweisung SteuVE 01.07.2024, Westnetz-Schulung „Bewertung von Zählerplätzen in Bestandsanlagen“, BDEW-Musterwortlaut TAB 2023 v2.0. Keine Normtexte in diese Datei kopieren (Urheberrecht).</t>
  </si>
  <si>
    <t xml:space="preserve">Zählerplatz-Bauart nach den Spalten der BDEW-Tabelle Anhang G wählen: Zählertafel = offene Tafel ohne geschlossenes Gehäuse; Zählerschrank = geschlossenes Gehäuse. DIN-43870-Zählertafeln fallen bei Zubau von Wallbox, WP, PV usw. durch, DIN-43870-Zählerschränke sind nach Anpassung weiterverwendbar.</t>
  </si>
  <si>
    <t xml:space="preserve">Pilot-Netzgebiet ist Westnetz. Regeln mit Geltung „Westnetz“ greifen nur, wenn in der Spalte „Netzbetreiber“ „Westnetz“ steht. Dann wird auch ein Messkonzept vorgeschlagen.</t>
  </si>
  <si>
    <t xml:space="preserve">Die Beispielzeile in „Fälle“ wird in der Auswertung nicht mitgezählt.</t>
  </si>
  <si>
    <t xml:space="preserve">Fälle – Praxistest Entscheidungsbaum Zählerschrank</t>
  </si>
  <si>
    <t xml:space="preserve">Eingaben (gelb) – deine realen Schränke</t>
  </si>
  <si>
    <t xml:space="preserve">Berechnet – nicht überschreiben</t>
  </si>
  <si>
    <t xml:space="preserve">Zählerplatz nicht weiterverwendbar</t>
  </si>
  <si>
    <t xml:space="preserve">Zählerplatzverdrahtung unzureichend</t>
  </si>
  <si>
    <t xml:space="preserve">Sicherheitsmängel</t>
  </si>
  <si>
    <t xml:space="preserve">Kein Raum für Zusatzanwendungen</t>
  </si>
  <si>
    <t xml:space="preserve">Modul 2 ohne Zählerplatz</t>
  </si>
  <si>
    <t xml:space="preserve">Keine Trennstelle hinter dem Zähler</t>
  </si>
  <si>
    <t xml:space="preserve">Kein SPD Typ 1</t>
  </si>
  <si>
    <t xml:space="preserve">Wechselstromanschluss</t>
  </si>
  <si>
    <t xml:space="preserve">Erdung unklar</t>
  </si>
  <si>
    <t xml:space="preserve">Netzform TN-C / unklar</t>
  </si>
  <si>
    <t xml:space="preserve">Leistungsbilanz knapp</t>
  </si>
  <si>
    <t xml:space="preserve">Wallbox &gt; 12 kVA</t>
  </si>
  <si>
    <t xml:space="preserve">Bauart unbekannt</t>
  </si>
  <si>
    <t xml:space="preserve">DIN-43870-Schrank nur mit Anpassung</t>
  </si>
  <si>
    <t xml:space="preserve">Keine RJ45-Buchse „CLS“</t>
  </si>
  <si>
    <t xml:space="preserve">Relaissteuerung ohne Steuersignal-Klemmleiste</t>
  </si>
  <si>
    <t xml:space="preserve">Keine Datenleitung zur SteuVE</t>
  </si>
  <si>
    <t xml:space="preserve">Direktmessung überschritten</t>
  </si>
  <si>
    <t xml:space="preserve">Verdrahtung 10 mm² zu schwach</t>
  </si>
  <si>
    <t xml:space="preserve">PV ≥ 25 kWp ohne FRE</t>
  </si>
  <si>
    <t xml:space="preserve">PV mit Smart-Meter-Steuerung</t>
  </si>
  <si>
    <t xml:space="preserve">Zählerauftrag durch Westnetz</t>
  </si>
  <si>
    <t xml:space="preserve">3-Punkt-Zähler bei Relaissteuerung</t>
  </si>
  <si>
    <t xml:space="preserve">PV: 60 %-Begrenzung bis SMGW</t>
  </si>
  <si>
    <t xml:space="preserve">Speicher-Betriebsweise klären</t>
  </si>
  <si>
    <t xml:space="preserve">Relaissteuerung nur bis 2028</t>
  </si>
  <si>
    <t xml:space="preserve">Fall-Nr</t>
  </si>
  <si>
    <t xml:space="preserve">Datum</t>
  </si>
  <si>
    <t xml:space="preserve">PLZ / Ort</t>
  </si>
  <si>
    <t xml:space="preserve">Netzbetreiber</t>
  </si>
  <si>
    <t xml:space="preserve">Wallbox</t>
  </si>
  <si>
    <t xml:space="preserve">Wärme-
pumpe</t>
  </si>
  <si>
    <t xml:space="preserve">Klima-
gerät</t>
  </si>
  <si>
    <t xml:space="preserve">Speicher</t>
  </si>
  <si>
    <t xml:space="preserve">PV</t>
  </si>
  <si>
    <t xml:space="preserve">Größte SteuVE (kW; WP inkl. Heizstab und Klima je Art summiert)</t>
  </si>
  <si>
    <t xml:space="preserve">§14a-Modul geplant</t>
  </si>
  <si>
    <t xml:space="preserve">Zählerplatz-Bauart (BDEW Anhang G)</t>
  </si>
  <si>
    <t xml:space="preserve">Zähler-
befestigung</t>
  </si>
  <si>
    <t xml:space="preserve">Freie Zähler-
plätze</t>
  </si>
  <si>
    <t xml:space="preserve">APZ / RfZ vorhanden</t>
  </si>
  <si>
    <t xml:space="preserve">Trennstelle hinter Zähler (HS/RCD im AAR)</t>
  </si>
  <si>
    <t xml:space="preserve">SPD Typ 1 vorhanden</t>
  </si>
  <si>
    <t xml:space="preserve">Anschluss</t>
  </si>
  <si>
    <t xml:space="preserve">Netzform</t>
  </si>
  <si>
    <t xml:space="preserve">HA-Sicherung (A)</t>
  </si>
  <si>
    <t xml:space="preserve">Erdung vorhanden</t>
  </si>
  <si>
    <t xml:space="preserve">Zustand / Berührungs-schutz ok</t>
  </si>
  <si>
    <t xml:space="preserve">Steuerung geplant über</t>
  </si>
  <si>
    <t xml:space="preserve">RJ45-Buchse „CLS“ vorhanden</t>
  </si>
  <si>
    <t xml:space="preserve">6-polige Steuersignal-Klemmleiste vorhanden</t>
  </si>
  <si>
    <t xml:space="preserve">Datenleitung Cat.5+ SteuVE → Zählerplatz</t>
  </si>
  <si>
    <t xml:space="preserve">Zählerplatz-verdrahtung</t>
  </si>
  <si>
    <t xml:space="preserve">Summe Dauerbetrieb nach Umbau (kW)</t>
  </si>
  <si>
    <t xml:space="preserve">PV-Leistung (kWp)</t>
  </si>
  <si>
    <t xml:space="preserve">Freies Steuer-gerätefeld</t>
  </si>
  <si>
    <t xml:space="preserve">DEINE tatsächliche Entscheidung</t>
  </si>
  <si>
    <t xml:space="preserve">Bemerkung</t>
  </si>
  <si>
    <t xml:space="preserve">Anz. Vorhaben</t>
  </si>
  <si>
    <t xml:space="preserve">SteuVE ≥ 4,2 kW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</si>
  <si>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</si>
  <si>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</si>
  <si>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</si>
  <si>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</si>
  <si>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</si>
  <si>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</si>
  <si>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</si>
  <si>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</si>
  <si>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</si>
  <si>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</si>
  <si>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</si>
  <si>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</si>
  <si>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</si>
  <si>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</si>
  <si>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</si>
  <si>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</si>
  <si>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</si>
  <si>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</si>
  <si>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</si>
  <si>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</si>
  <si>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</si>
  <si>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</si>
  <si>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</si>
  <si>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</si>
  <si>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</si>
  <si>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</si>
  <si>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Ergebnis Tool</t>
  </si>
  <si>
    <t xml:space="preserve">Ausgelöste Regeln</t>
  </si>
  <si>
    <t xml:space="preserve">Treffer?</t>
  </si>
  <si>
    <t xml:space="preserve">Messkonzept Westnetz (Vorschlag)</t>
  </si>
  <si>
    <t xml:space="preserve">Beispiel</t>
  </si>
  <si>
    <t xml:space="preserve">12345 Musterstadt</t>
  </si>
  <si>
    <t xml:space="preserve">Westnetz</t>
  </si>
  <si>
    <t xml:space="preserve">Ja</t>
  </si>
  <si>
    <t xml:space="preserve">Nein</t>
  </si>
  <si>
    <t xml:space="preserve">Modul 1</t>
  </si>
  <si>
    <t xml:space="preserve">DIN 43870 Zählerschrank, NH-Sicherung im NAR</t>
  </si>
  <si>
    <t xml:space="preserve">3-Punkt</t>
  </si>
  <si>
    <t xml:space="preserve">3-phasig</t>
  </si>
  <si>
    <t xml:space="preserve">TN-C-S</t>
  </si>
  <si>
    <t xml:space="preserve">Digital (RJ45 / EEBUS)</t>
  </si>
  <si>
    <t xml:space="preserve">10 mm² flexibel</t>
  </si>
  <si>
    <t xml:space="preserve">Nachrüsten</t>
  </si>
  <si>
    <t xml:space="preserve">Beispielzeile – wird in der Auswertung nicht gezählt. Überschreiben oder stehen lassen.</t>
  </si>
  <si>
    <t xml:space="preserve">Regeln – Entscheidungsbaum Zählerschrank (Entwurf)</t>
  </si>
  <si>
    <t xml:space="preserve">Jede Regel wird im Blatt „Fälle“ als eigene Spalte geprüft. Stufe: 0 = nur Hinweis, 1 = Nachrüsten, 2 = Austausch. Die Stufe (gelb) kannst du ändern – die Fälle rechnen sofort neu. Spalte „Status“: „Belegt“ = mit Westnetz-/BDEW-Unterlage abgeglichen, „Entwurf“ = noch offen.</t>
  </si>
  <si>
    <t xml:space="preserve">Regelstand: TAB NS Westnetz 01.09.2025, Westnetz-Anweisung SteuVE 01.07.2024, Westnetz-Schulung Bestandsanlagen (09/2025), BDEW-Musterwortlaut TAB 2023 v2.0. BDEW-Musterwortlaut TAB 2026 seit 31.07.2026 veröffentlicht – neue Westnetz-TAB beobachten.</t>
  </si>
  <si>
    <t xml:space="preserve">ID</t>
  </si>
  <si>
    <t xml:space="preserve">Kurzname</t>
  </si>
  <si>
    <t xml:space="preserve">Bedingung (Klartext)</t>
  </si>
  <si>
    <t xml:space="preserve">Maßnahme</t>
  </si>
  <si>
    <t xml:space="preserve">Stufe (0/1/2)</t>
  </si>
  <si>
    <t xml:space="preserve">Fundstelle</t>
  </si>
  <si>
    <t xml:space="preserve">Geltung</t>
  </si>
  <si>
    <t xml:space="preserve">Status</t>
  </si>
  <si>
    <t xml:space="preserve">Deine Notiz</t>
  </si>
  <si>
    <t xml:space="preserve">Bauart = DIN-43853-Zählertafel (mit/ohne Schutzklasse II) oder DIN-43870-Norm-Zählertafel mit Vorsicherung, und Wallbox/WP/Klima/Speicher/PV geplant</t>
  </si>
  <si>
    <t xml:space="preserve">Neuen Zählerschrank nach DIN VDE 0603 / VDE-AR-N 4100 errichten</t>
  </si>
  <si>
    <t xml:space="preserve">BDEW-Musterwortlaut TAB 2023 v2.0, Anhang G (S. 57) (Änderungsvarianten 1–3: „nein“); Westnetz-Schulung „Bewertung von Zählerplätzen in Bestandsanlagen“ (09/2025), Bild 1–4</t>
  </si>
  <si>
    <t xml:space="preserve">Alle Netzbetreiber</t>
  </si>
  <si>
    <t xml:space="preserve">Belegt</t>
  </si>
  <si>
    <t xml:space="preserve">Bauart = DIN-43870-Zählerschrank (Trennvorrichtung im AAR oder NH-Sicherung im NAR), Verdrahtung unter 10 mm², starr oder unbekannt, Vorhaben geplant</t>
  </si>
  <si>
    <t xml:space="preserve">Flexible Zählerplatzverdrahtung mind. 10 mm² nach DIN VDE 0603-2-1 herstellen</t>
  </si>
  <si>
    <t xml:space="preserve">BDEW-Musterwortlaut TAB 2023 v2.0, Anhang G (S. 57), Fußnote 4</t>
  </si>
  <si>
    <t xml:space="preserve">Zustand/Berührungsschutz nicht in Ordnung, Vorhaben geplant</t>
  </si>
  <si>
    <t xml:space="preserve">Mängel beseitigen (Berührungsschutz, Isolation, Abdeckungen, Plombierbarkeit). Westnetz: grober Mangel = kein Zählerwechsel, 6 Wochen Frist</t>
  </si>
  <si>
    <t xml:space="preserve">BDEW-Musterwortlaut TAB 2023 v2.0, Kap. 7.4.2 (Sicherheitsmängel); Westnetz-Schulung „Bewertung von Zählerplätzen in Bestandsanlagen“ (09/2025), „Sicherheitsmängel“</t>
  </si>
  <si>
    <t xml:space="preserve">Neue SteuVE &gt; 4,2 kW oder PV, aber kein RfZ mit ausreichend Platz für SMGW und Steuerbox</t>
  </si>
  <si>
    <t xml:space="preserve">RfZ direkt über dem Zählerfeld (Westnetz: 1 × 10 TE + 1 × 5 TE, mind. 8 TE für den MSB freihalten). Bei Platzmangel zusätzlicher RfZ (zRfZ): Steuergerätefeld mit Hutschiene, vorhandenes Verteilerfeld oder separates plombierbares Gehäuse, jeweils mit Spannungsversorgung aus dem ungemessenen Bereich und Datenleitung aus dem Zählerfeld. Erst wenn das nicht geht: Schrank tauschen</t>
  </si>
  <si>
    <t xml:space="preserve">TAB NS Westnetz 01.09.2025, Kap. 9.2 und 14.5 (zRfZ); Westnetz-Anweisung „Techn. Mindestanforderungen steuerbare Einrichtungen“ 01.07.2024, Kap. 8.2.1 und 8.2.5; Westnetz-Schulung „Bewertung von Zählerplätzen in Bestandsanlagen“ (09/2025)</t>
  </si>
  <si>
    <t xml:space="preserve">Alle (Details Westnetz)</t>
  </si>
  <si>
    <t xml:space="preserve">§14a Modul 2 geplant, aber kein freier Zählerplatz</t>
  </si>
  <si>
    <t xml:space="preserve">Separaten Zählerplatz für die SteuVE schaffen. Reserveplätze in DIN-VDE-0603-Schränken nur nutzbar mit Trennvorrichtung im NAR (oder NH + laienbedienbarer Trennvorrichtung im AAR) und AAR ≥ 150 mm mit Hauptleitungsabzweigklemme. Bei PV: Messkonzept 8 (Kaskade)</t>
  </si>
  <si>
    <t xml:space="preserve">BNetzA BK8-22/010-A; BDEW-Musterwortlaut TAB, Kap. 7.4.1; Westnetz-Schulung „Bewertung von Zählerplätzen in Bestandsanlagen“ (09/2025), „Messkonzept 8“</t>
  </si>
  <si>
    <t xml:space="preserve">Keine Trennstelle (Hauptschalter oder RCD) im AAR hinter der Messeinrichtung, Vorhaben geplant. Bei Westnetz immer (jedes Vorhaben bringt dort einen neuen Zähler bzw. Zählerwechsel), sonst bei 3-Punkt</t>
  </si>
  <si>
    <t xml:space="preserve">Trennstelle hinter jeder Messeinrichtung im AAR setzen (Hauptschalter oder RCD)</t>
  </si>
  <si>
    <t xml:space="preserve">TAB NS Westnetz 01.09.2025, Kap. 7.2 (gilt für alle neuen Zählerplätze/Zähler); VDE-AR-N 4100:2026-04 (Hauptschalter AAR bei 3-Punkt)</t>
  </si>
  <si>
    <t xml:space="preserve">Westnetz / 3-Punkt alle</t>
  </si>
  <si>
    <t xml:space="preserve">Kein Überspannungsschutz Typ 1 vorhanden, Vorhaben geplant</t>
  </si>
  <si>
    <t xml:space="preserve">SPD Typ 1 im Hauptstromversorgungssystem nach DIN VDE 0100-443/-534 und VDE-AR-N 4100 Abschn. 11.2 nachrüsten</t>
  </si>
  <si>
    <t xml:space="preserve">BDEW-Musterwortlaut TAB, Kap. 11 (5) → DIN VDE 0100-443, VDE-AR-N 4100 Abschn. 11.2</t>
  </si>
  <si>
    <t xml:space="preserve">Verweis belegt, Details in Norm prüfen</t>
  </si>
  <si>
    <t xml:space="preserve">Anschluss 1-phasig und Gerät &gt; 4,6 kVA oder PV geplant</t>
  </si>
  <si>
    <t xml:space="preserve">Umstellung auf Drehstrom: Netzbetreiber anfragen, Hauptleitung und Zählerplatz anpassen</t>
  </si>
  <si>
    <t xml:space="preserve">TAB NS Westnetz 01.09.2025, Kap. 10.1 (&gt; 4,6 kVA im Drehstromsystem); BDEW-Musterwortlaut TAB 2023 v2.0, Kap. 7.4.2; BDEW-Musterwortlaut TAB 2023 v2.0, Anhang G (S. 57) (Variante 2)</t>
  </si>
  <si>
    <t xml:space="preserve">Erdung = Nein oder Unbekannt</t>
  </si>
  <si>
    <t xml:space="preserve">HINWEIS: Erdungsanlage prüfen, ggf. nach DIN 18014 nachrüsten</t>
  </si>
  <si>
    <t xml:space="preserve">DIN 18014; VDE-AR-N 4100:2026-04</t>
  </si>
  <si>
    <t xml:space="preserve">Entwurf – in Norm prüfen</t>
  </si>
  <si>
    <t xml:space="preserve">Netzform = TN-C oder Unbekannt</t>
  </si>
  <si>
    <t xml:space="preserve">HINWEIS: Umstellung der Netzform in der Kundenanlage (TN-C → TN-S) ist Anpassungsauslöser für den Zählerplatz; PEN-Aufteilung und RCD prüfen</t>
  </si>
  <si>
    <t xml:space="preserve">BDEW-Musterwortlaut TAB 2023 v2.0, Kap. 7.4.2; TAB NS Westnetz 01.09.2025, Kap. 11 (TN-System)</t>
  </si>
  <si>
    <t xml:space="preserve">Hausanschlusssicherung unter 50 A und zwei oder mehr Vorhaben</t>
  </si>
  <si>
    <t xml:space="preserve">HINWEIS: Leistungsbilanz rechnen; Leistungserhöhung, die eine höhere Absicherung bedingt, ist Anpassungsauslöser</t>
  </si>
  <si>
    <t xml:space="preserve">BDEW-Musterwortlaut TAB 2023 v2.0, Kap. 7.4.2</t>
  </si>
  <si>
    <t xml:space="preserve">Auslöser belegt, Grenzwert 50 A ist Annahme</t>
  </si>
  <si>
    <t xml:space="preserve">Wallbox geplant und größte SteuVE &gt; 12 kW</t>
  </si>
  <si>
    <t xml:space="preserve">HINWEIS: genehmigungspflichtig (nicht nur anmeldepflichtig) – vor Installation beim Netzbetreiber beantragen</t>
  </si>
  <si>
    <t xml:space="preserve">NAV § 19</t>
  </si>
  <si>
    <t xml:space="preserve">Bauart = Unbekannt</t>
  </si>
  <si>
    <t xml:space="preserve">HINWEIS: Bauart vor Ort nach BDEW-Tabelle Anhang G bestimmen, sonst keine Aussage möglich</t>
  </si>
  <si>
    <t xml:space="preserve">BDEW-Musterwortlaut TAB 2023 v2.0, Anhang G (S. 57)</t>
  </si>
  <si>
    <t xml:space="preserve">–</t>
  </si>
  <si>
    <t xml:space="preserve">Bauart = DIN-43870-Zählerschrank mit Trennvorrichtung im AAR oder NH-Sicherung im NAR, Vorhaben geplant</t>
  </si>
  <si>
    <t xml:space="preserve">Weiterverwendung nur nach Anpassung: Vorgaben des Netzbetreibers umsetzen, Verantwortung liegt beim Errichter</t>
  </si>
  <si>
    <t xml:space="preserve">BDEW-Musterwortlaut TAB 2023 v2.0, Anhang G (S. 57), „ja 4)“; Westnetz-Schulung „Bewertung von Zählerplätzen in Bestandsanlagen“ (09/2025), Bild 5–8</t>
  </si>
  <si>
    <t xml:space="preserve">SteuVE &gt; 4,2 kW oder PV geplant und keine RJ45-Buchse am Zählerplatz. Westnetz fordert sie auch bei Relaissteuerung</t>
  </si>
  <si>
    <t xml:space="preserve">RJ45-Buchse (Hutschiene, max. 1 TE, mind. Cat 5e, hinter Abdeckung) im AAR oberhalb RfZ setzen und mit „CLS“ beschriften; bei 3-Punkt mit zusätzlicher Relaissteuerung oberhalb des Steuergerätefelds. Vorhandene Buchse weiterverwenden</t>
  </si>
  <si>
    <t xml:space="preserve">TAB NS Westnetz 01.09.2025, Kap. 9.2 und 14.5; Westnetz-Anweisung „Techn. Mindestanforderungen steuerbare Einrichtungen“ 01.07.2024, Kap. 7.2.2</t>
  </si>
  <si>
    <t xml:space="preserve">Steuerung über potentialfreie Kontakte geplant (oder PV ≥ 25 kWp mit FRE) und keine 6-polige Steuersignal-Klemmleiste im AAR</t>
  </si>
  <si>
    <t xml:space="preserve">6-polige Steuersignal-Klemmleiste (UNSM | 60 % | 30 % | 0 % | UsteuVE | steuVE) im AAR über dem RfZ, bei 3-Punkt über dem Steuergerätefeld; immer vollständig 6-polig. Koppelrelais im Verteilerfeld nur bei &gt; 1 A, mehreren SteuVE oder Invertierung; Versorgung aus dem gemessenen Bereich</t>
  </si>
  <si>
    <t xml:space="preserve">TAB NS Westnetz 01.09.2025, Kap. 9.2 (Abb. 4, Tab. 1) und 14.5</t>
  </si>
  <si>
    <t xml:space="preserve">Digitale Steuerung geplant und keine Datenleitung (mind. Cat 5) von SteuVE/EMS zur RJ45-Buchse</t>
  </si>
  <si>
    <t xml:space="preserve">Datenleitung mind. Cat 5 von SteuVE oder EMS zur RJ45-Buchse im AAR; mehrere Geräte über EEBUS-fähigen Switch (max. 4 Geräte je Steuerbox). Westnetz nutzt ausschließlich EEBUS</t>
  </si>
  <si>
    <t xml:space="preserve">TAB NS Westnetz 01.09.2025, Kap. 9.2; Westnetz-Anweisung „Techn. Mindestanforderungen steuerbare Einrichtungen“ 01.07.2024, Kap. 7.1</t>
  </si>
  <si>
    <t xml:space="preserve">Summe Dauerbetrieb nach Umbau &gt; 30 kW</t>
  </si>
  <si>
    <t xml:space="preserve">Wandlermessung (halbindirekt) nach DIN VDE 0603-2-2 mit 3-Punkt oder BKE-I; über 200 A mit Westnetz abstimmen</t>
  </si>
  <si>
    <t xml:space="preserve">Westnetz-Schulung „Bewertung von Zählerplätzen in Bestandsanlagen“ (09/2025), „Messarten“ (60-A-Zähler bis max. 30 kW Dauerbetrieb); TAB NS Westnetz 01.09.2025, Kap. 7.3</t>
  </si>
  <si>
    <t xml:space="preserve">Verdrahtung 10 mm² und Dauerbetriebsstrom &gt; 32 A (≈ 22 kW bei 400 V)</t>
  </si>
  <si>
    <t xml:space="preserve">Zählerplatzverdrahtung 16 mm² (Dauerbetrieb bis 44 A, SLS bis 50 A)</t>
  </si>
  <si>
    <t xml:space="preserve">VDE-AR-N 4100, Tabelle Strombelastbarkeit Zählerplatz (in Westnetz-Schulung „Bewertung von Zählerplätzen in Bestandsanlagen“ (09/2025)); BDEW-Musterwortlaut TAB 2023 v2.0, Kap. 7.4.2 (Dauerstrombelastung). Werte der Ausgabe 2026-04 prüfen</t>
  </si>
  <si>
    <t xml:space="preserve">Belegt (2019er Tabelle)</t>
  </si>
  <si>
    <t xml:space="preserve">PV geplant mit ≥ 25 kWp</t>
  </si>
  <si>
    <t xml:space="preserve">Funkrundsteuerempfänger auf TSG-Feld (DIN VDE 0603, 3-Punkt), parallel zur späteren Steuerbox über die Steuersignal-Klemmleiste verdrahtet; Relais K1 nicht anschließen</t>
  </si>
  <si>
    <t xml:space="preserve">TAB NS Westnetz 01.09.2025, Kap. 14.5, Tab. 14.2</t>
  </si>
  <si>
    <t xml:space="preserve">PV geplant und (SteuVE am Anschluss oder PV &gt; 7 kWp)</t>
  </si>
  <si>
    <t xml:space="preserve">HINWEIS: Messstellenbetreiber baut iMSys + Steuerbox; danach PV und Speicher ab 0 kW separat über das SMGW steuern. Steuerung schon jetzt vorbereiten (RJ45 oder Klemmleiste im AAR), damit später nichts mehr umgebaut werden muss</t>
  </si>
  <si>
    <t xml:space="preserve">TAB NS Westnetz 01.09.2025, Kap. 14.5; Westnetz-Anweisung „Techn. Mindestanforderungen steuerbare Einrichtungen“ 01.07.2024, Kap. 6.3</t>
  </si>
  <si>
    <t xml:space="preserve">SteuVE &gt; 4,2 kW geplant</t>
  </si>
  <si>
    <t xml:space="preserve">HINWEIS: I-Auftrag über das Installateurportal; Zählermontage durch Westnetz (kein ZZV). Messkonzeptwechsel ebenfalls per I-Auftrag</t>
  </si>
  <si>
    <t xml:space="preserve">Westnetz-Schulung „Bewertung von Zählerplätzen in Bestandsanlagen“ (09/2025), „Montage durch Westnetz“, „Messkonzeptwechsel“</t>
  </si>
  <si>
    <t xml:space="preserve">Relaissteuerung geplant, Zählerbefestigung 3-Punkt, kein freies Steuergerätefeld</t>
  </si>
  <si>
    <t xml:space="preserve">Umrüstung auf eHZ: BKE-I mit Adapterplatte BKE-AZ (Anschluss 10–16 mm², RfZ waagerecht auf mind. 2 Hutschienen, 1 × 10 + 1 × 5 TE); Adapterplatte gehört zur Kundenanlage</t>
  </si>
  <si>
    <t xml:space="preserve">Westnetz-Anweisung „Techn. Mindestanforderungen steuerbare Einrichtungen“ 01.07.2024, Kap. 6.4 und 8.2.5; TAB NS Westnetz 01.09.2025, Kap. 7.2 (Hinweis Adapterplatte)</t>
  </si>
  <si>
    <t xml:space="preserve">PV geplant</t>
  </si>
  <si>
    <t xml:space="preserve">HINWEIS: EEG-Anlagen &lt; 100 kW mit Einspeisevergütung auf 60 % Einspeiseleistung begrenzen, bis iMSys mit Steuerbox eingebaut und getestet ist</t>
  </si>
  <si>
    <t xml:space="preserve">TAB NS Westnetz 01.09.2025, Kap. 14.5</t>
  </si>
  <si>
    <t xml:space="preserve">Speicher geplant</t>
  </si>
  <si>
    <t xml:space="preserve">HINWEIS: Lädt der Speicher auch aus dem Netz, braucht er eine eigene Steuerung (eigene Steuerbox und Klemmleiste je Energieart); nur PV-geladen ohne Rückspeisung: keine; PV-geladen mit Rückspeisung: gemeinsam mit PV. Betriebsweise per Energieflussrichtungssensor sicherstellen</t>
  </si>
  <si>
    <t xml:space="preserve">Relaissteuerung geplant</t>
  </si>
  <si>
    <t xml:space="preserve">HINWEIS: Ein Relaiskontakt reicht bei Neuanlagen nur bis 31.12.2028; ab 01.01.2029 werden Neuanlagen über die digitale Schnittstelle angebunden. Bestands-SteuVE (vor 2024) bis 01.01.2029 umstellen</t>
  </si>
  <si>
    <t xml:space="preserve">Westnetz-Anweisung „Techn. Mindestanforderungen steuerbare Einrichtungen“ 01.07.2024, Kap. 6.1</t>
  </si>
  <si>
    <t xml:space="preserve">Auswertung &amp; Go/No-Go</t>
  </si>
  <si>
    <t xml:space="preserve">1. Trefferquote Entscheidungsbaum</t>
  </si>
  <si>
    <t xml:space="preserve">Erfasste Fälle (ohne Beispiel)</t>
  </si>
  <si>
    <t xml:space="preserve">davon mit deiner Entscheidung</t>
  </si>
  <si>
    <t xml:space="preserve">Treffer (Tool = deine Entscheidung)</t>
  </si>
  <si>
    <t xml:space="preserve">Trefferquote</t>
  </si>
  <si>
    <t xml:space="preserve">Ziel-Trefferquote (17 von 20)</t>
  </si>
  <si>
    <t xml:space="preserve">Annahme aus der Machbarkeitsanalyse (≥ 17 von 20 realen Fällen)</t>
  </si>
  <si>
    <t xml:space="preserve">Kriterium erfüllt?</t>
  </si>
  <si>
    <t xml:space="preserve">2. Wo liegt der Baum daneben? (Zeilen: deine Entscheidung, Spalten: Tool)</t>
  </si>
  <si>
    <t xml:space="preserve">Deine Entscheidung ↓ / Tool →</t>
  </si>
  <si>
    <t xml:space="preserve">Weiterverwendbar</t>
  </si>
  <si>
    <t xml:space="preserve">Austausch</t>
  </si>
  <si>
    <t xml:space="preserve">Kein Vorhaben</t>
  </si>
  <si>
    <t xml:space="preserve">Grün = Treffer. Oberhalb der Diagonale ist das Tool strenger als du, unterhalb lockerer. Lockerer ist gefährlicher: dort fehlt dem Baum eine Regel.</t>
  </si>
  <si>
    <t xml:space="preserve">3. Wie oft greift welche Regel?</t>
  </si>
  <si>
    <t xml:space="preserve">Regel</t>
  </si>
  <si>
    <t xml:space="preserve">Stufe</t>
  </si>
  <si>
    <t xml:space="preserve">Ausgelöst (Fälle)</t>
  </si>
  <si>
    <t xml:space="preserve">4. Go/No-Go (aus der Machbarkeitsanalyse, Abschnitt 8)</t>
  </si>
  <si>
    <t xml:space="preserve">Kriterium</t>
  </si>
  <si>
    <t xml:space="preserve">Ist (eintragen)</t>
  </si>
  <si>
    <t xml:space="preserve">Ziel</t>
  </si>
  <si>
    <t xml:space="preserve">Erfüllt?</t>
  </si>
  <si>
    <t xml:space="preserve">Kollegen mit dem Problem mind. monatlich (von 15 Gesprächen)</t>
  </si>
  <si>
    <t xml:space="preserve">Kollegen mit Preis ≥ 30 €/Monat UND Bereitschaft zum Vorabzahlen/Mittesten</t>
  </si>
  <si>
    <t xml:space="preserve">Trefferquote Entscheidungsbaum (≥ 20 Fälle)</t>
  </si>
  <si>
    <t xml:space="preserve">Wartelisten-Einträge von Betrieben in 4 Wochen</t>
  </si>
  <si>
    <t xml:space="preserve">Erfüllte Kriterien</t>
  </si>
  <si>
    <t xml:space="preserve">Entscheidung</t>
  </si>
  <si>
    <t xml:space="preserve">JaNein</t>
  </si>
  <si>
    <t xml:space="preserve">JaNeinUnb</t>
  </si>
  <si>
    <t xml:space="preserve">Modul</t>
  </si>
  <si>
    <t xml:space="preserve">Bauart</t>
  </si>
  <si>
    <t xml:space="preserve">Befest</t>
  </si>
  <si>
    <t xml:space="preserve">Phase</t>
  </si>
  <si>
    <t xml:space="preserve">Entsch</t>
  </si>
  <si>
    <t xml:space="preserve">Verdrahtung</t>
  </si>
  <si>
    <t xml:space="preserve">Steuerart</t>
  </si>
  <si>
    <t xml:space="preserve">DIN 43853 Zählertafel ohne Schutzklasse II</t>
  </si>
  <si>
    <t xml:space="preserve">1-phasig</t>
  </si>
  <si>
    <t xml:space="preserve">TN-C</t>
  </si>
  <si>
    <t xml:space="preserve">unter 10 mm² oder starr</t>
  </si>
  <si>
    <t xml:space="preserve">Modul 1 + 3</t>
  </si>
  <si>
    <t xml:space="preserve">DIN 43853 Norm-Zählertafel (Schutzklasse II)</t>
  </si>
  <si>
    <t xml:space="preserve">BKE-I (eHZ)</t>
  </si>
  <si>
    <t xml:space="preserve">Relais (potentialfrei)</t>
  </si>
  <si>
    <t xml:space="preserve">Unbekannt</t>
  </si>
  <si>
    <t xml:space="preserve">Modul 2</t>
  </si>
  <si>
    <t xml:space="preserve">DIN 43870 Norm-Zählertafel mit Vorsicherung</t>
  </si>
  <si>
    <t xml:space="preserve">TN-S</t>
  </si>
  <si>
    <t xml:space="preserve">16 mm² flexibel</t>
  </si>
  <si>
    <t xml:space="preserve">Digital + Relais</t>
  </si>
  <si>
    <t xml:space="preserve">Keins (unter 4,2 kW)</t>
  </si>
  <si>
    <t xml:space="preserve">DIN 43870 Zählerschrank, Trennvorrichtung im AAR</t>
  </si>
  <si>
    <t xml:space="preserve">TT</t>
  </si>
  <si>
    <t xml:space="preserve">Keine Steuerung nötig</t>
  </si>
  <si>
    <t xml:space="preserve">DIN 43870 Zählerschrank mit SLS</t>
  </si>
  <si>
    <t xml:space="preserve">DIN VDE 0603 (nach VDE-AR-N 4100)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</si>
</sst>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0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26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26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4" t="s">
        <v>14</v>
      </c>
    </row>
    <row r="20" customFormat="false" ht="39.55" hidden="false" customHeight="false" outlineLevel="0" collapsed="false">
      <c r="B20" s="2" t="s">
        <v>15</v>
      </c>
    </row>
    <row r="21" customFormat="false" ht="39.55" hidden="false" customHeight="false" outlineLevel="0" collapsed="false">
      <c r="B21" s="2" t="s">
        <v>16</v>
      </c>
    </row>
    <row r="22" customFormat="false" ht="26.8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8" min="5" style="0" width="10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17"/>
    <col collapsed="false" customWidth="true" hidden="false" outlineLevel="0" max="24" min="24" style="0" width="11"/>
    <col collapsed="false" customWidth="true" hidden="false" outlineLevel="0" max="27" min="25" style="0" width="13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0" min="30" style="0" width="11"/>
    <col collapsed="false" customWidth="true" hidden="false" outlineLevel="0" max="31" min="31" style="0" width="17"/>
    <col collapsed="false" customWidth="true" hidden="false" outlineLevel="0" max="32" min="32" style="0" width="30"/>
    <col collapsed="false" customWidth="true" hidden="false" outlineLevel="0" max="34" min="33" style="0" width="9"/>
    <col collapsed="false" customWidth="true" hidden="false" outlineLevel="0" max="60" min="35" style="0" width="6"/>
    <col collapsed="false" customWidth="true" hidden="false" outlineLevel="0" max="61" min="61" style="0" width="17"/>
    <col collapsed="false" customWidth="true" hidden="false" outlineLevel="0" max="62" min="62" style="0" width="28"/>
    <col collapsed="false" customWidth="true" hidden="false" outlineLevel="0" max="63" min="63" style="0" width="9"/>
    <col collapsed="false" customWidth="true" hidden="false" outlineLevel="0" max="64" min="64" style="0" width="26"/>
  </cols>
  <sheetData>
    <row r="1" customFormat="false" ht="17.35" hidden="false" customHeight="false" outlineLevel="0" collapsed="false">
      <c r="A1" s="5" t="s">
        <v>19</v>
      </c>
    </row>
    <row r="2" customFormat="false" ht="36" hidden="false" customHeight="true" outlineLevel="0" collapsed="false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G2" s="7" t="s">
        <v>21</v>
      </c>
      <c r="AI2" s="8" t="s">
        <v>22</v>
      </c>
      <c r="AJ2" s="8" t="s">
        <v>23</v>
      </c>
      <c r="AK2" s="8" t="s">
        <v>24</v>
      </c>
      <c r="AL2" s="8" t="s">
        <v>25</v>
      </c>
      <c r="AM2" s="8" t="s">
        <v>26</v>
      </c>
      <c r="AN2" s="8" t="s">
        <v>27</v>
      </c>
      <c r="AO2" s="8" t="s">
        <v>28</v>
      </c>
      <c r="AP2" s="8" t="s">
        <v>29</v>
      </c>
      <c r="AQ2" s="8" t="s">
        <v>30</v>
      </c>
      <c r="AR2" s="8" t="s">
        <v>31</v>
      </c>
      <c r="AS2" s="8" t="s">
        <v>32</v>
      </c>
      <c r="AT2" s="8" t="s">
        <v>33</v>
      </c>
      <c r="AU2" s="8" t="s">
        <v>34</v>
      </c>
      <c r="AV2" s="8" t="s">
        <v>35</v>
      </c>
      <c r="AW2" s="8" t="s">
        <v>36</v>
      </c>
      <c r="AX2" s="8" t="s">
        <v>37</v>
      </c>
      <c r="AY2" s="8" t="s">
        <v>38</v>
      </c>
      <c r="AZ2" s="8" t="s">
        <v>39</v>
      </c>
      <c r="BA2" s="8" t="s">
        <v>40</v>
      </c>
      <c r="BB2" s="8" t="s">
        <v>41</v>
      </c>
      <c r="BC2" s="8" t="s">
        <v>42</v>
      </c>
      <c r="BD2" s="8" t="s">
        <v>43</v>
      </c>
      <c r="BE2" s="8" t="s">
        <v>44</v>
      </c>
      <c r="BF2" s="8" t="s">
        <v>45</v>
      </c>
      <c r="BG2" s="8" t="s">
        <v>46</v>
      </c>
      <c r="BH2" s="8" t="s">
        <v>47</v>
      </c>
    </row>
    <row r="3" customFormat="false" ht="48" hidden="false" customHeight="true" outlineLevel="0" collapsed="false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57</v>
      </c>
      <c r="K3" s="9" t="s">
        <v>58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R3" s="9" t="s">
        <v>65</v>
      </c>
      <c r="S3" s="9" t="s">
        <v>66</v>
      </c>
      <c r="T3" s="9" t="s">
        <v>67</v>
      </c>
      <c r="U3" s="9" t="s">
        <v>68</v>
      </c>
      <c r="V3" s="9" t="s">
        <v>69</v>
      </c>
      <c r="W3" s="9" t="s">
        <v>70</v>
      </c>
      <c r="X3" s="9" t="s">
        <v>71</v>
      </c>
      <c r="Y3" s="9" t="s">
        <v>72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9" t="s">
        <v>79</v>
      </c>
      <c r="AG3" s="10" t="s">
        <v>80</v>
      </c>
      <c r="AH3" s="10" t="s">
        <v>81</v>
      </c>
      <c r="AI3" s="10" t="s">
        <v>82</v>
      </c>
      <c r="AJ3" s="10" t="s">
        <v>83</v>
      </c>
      <c r="AK3" s="10" t="s">
        <v>84</v>
      </c>
      <c r="AL3" s="10" t="s">
        <v>85</v>
      </c>
      <c r="AM3" s="10" t="s">
        <v>86</v>
      </c>
      <c r="AN3" s="10" t="s">
        <v>87</v>
      </c>
      <c r="AO3" s="10" t="s">
        <v>88</v>
      </c>
      <c r="AP3" s="10" t="s">
        <v>89</v>
      </c>
      <c r="AQ3" s="10" t="s">
        <v>90</v>
      </c>
      <c r="AR3" s="10" t="s">
        <v>91</v>
      </c>
      <c r="AS3" s="10" t="s">
        <v>92</v>
      </c>
      <c r="AT3" s="10" t="s">
        <v>93</v>
      </c>
      <c r="AU3" s="10" t="s">
        <v>94</v>
      </c>
      <c r="AV3" s="10" t="s">
        <v>95</v>
      </c>
      <c r="AW3" s="10" t="s">
        <v>96</v>
      </c>
      <c r="AX3" s="10" t="s">
        <v>97</v>
      </c>
      <c r="AY3" s="10" t="s">
        <v>98</v>
      </c>
      <c r="AZ3" s="10" t="s">
        <v>99</v>
      </c>
      <c r="BA3" s="10" t="s">
        <v>100</v>
      </c>
      <c r="BB3" s="10" t="s">
        <v>101</v>
      </c>
      <c r="BC3" s="10" t="s">
        <v>102</v>
      </c>
      <c r="BD3" s="10" t="s">
        <v>103</v>
      </c>
      <c r="BE3" s="10" t="s">
        <v>104</v>
      </c>
      <c r="BF3" s="10" t="s">
        <v>105</v>
      </c>
      <c r="BG3" s="10" t="s">
        <v>106</v>
      </c>
      <c r="BH3" s="10" t="s">
        <v>107</v>
      </c>
      <c r="BI3" s="10" t="s">
        <v>108</v>
      </c>
      <c r="BJ3" s="10" t="s">
        <v>109</v>
      </c>
      <c r="BK3" s="10" t="s">
        <v>110</v>
      </c>
      <c r="BL3" s="10" t="s">
        <v>111</v>
      </c>
    </row>
    <row r="4" customFormat="false" ht="39.55" hidden="false" customHeight="false" outlineLevel="0" collapsed="false">
      <c r="A4" s="11" t="s">
        <v>112</v>
      </c>
      <c r="B4" s="12" t="n">
        <v>46280</v>
      </c>
      <c r="C4" s="11" t="s">
        <v>113</v>
      </c>
      <c r="D4" s="11" t="s">
        <v>114</v>
      </c>
      <c r="E4" s="11" t="s">
        <v>115</v>
      </c>
      <c r="F4" s="11" t="s">
        <v>116</v>
      </c>
      <c r="G4" s="11" t="s">
        <v>116</v>
      </c>
      <c r="H4" s="11" t="s">
        <v>116</v>
      </c>
      <c r="I4" s="11" t="s">
        <v>116</v>
      </c>
      <c r="J4" s="11" t="n">
        <v>11</v>
      </c>
      <c r="K4" s="11" t="s">
        <v>117</v>
      </c>
      <c r="L4" s="11" t="s">
        <v>118</v>
      </c>
      <c r="M4" s="11" t="s">
        <v>119</v>
      </c>
      <c r="N4" s="11" t="n">
        <v>0</v>
      </c>
      <c r="O4" s="11" t="s">
        <v>116</v>
      </c>
      <c r="P4" s="11" t="s">
        <v>116</v>
      </c>
      <c r="Q4" s="11" t="s">
        <v>116</v>
      </c>
      <c r="R4" s="11" t="s">
        <v>120</v>
      </c>
      <c r="S4" s="11" t="s">
        <v>121</v>
      </c>
      <c r="T4" s="11" t="n">
        <v>63</v>
      </c>
      <c r="U4" s="11" t="s">
        <v>115</v>
      </c>
      <c r="V4" s="11" t="s">
        <v>115</v>
      </c>
      <c r="W4" s="11" t="s">
        <v>122</v>
      </c>
      <c r="X4" s="11" t="s">
        <v>116</v>
      </c>
      <c r="Y4" s="11" t="s">
        <v>116</v>
      </c>
      <c r="Z4" s="11" t="s">
        <v>115</v>
      </c>
      <c r="AA4" s="11" t="s">
        <v>123</v>
      </c>
      <c r="AB4" s="11" t="n">
        <v>11</v>
      </c>
      <c r="AC4" s="11"/>
      <c r="AD4" s="11" t="s">
        <v>116</v>
      </c>
      <c r="AE4" s="11" t="s">
        <v>124</v>
      </c>
      <c r="AF4" s="13" t="s">
        <v>125</v>
      </c>
      <c r="AG4" s="14" t="n">
        <f aca="false">IF($A4="","",COUNTIF($E4:$I4,"Ja"))</f>
        <v>1</v>
      </c>
      <c r="AH4" s="14" t="str">
        <f aca="false">IF($A4="","",IF(AND(COUNTIF($E4:$H4,"Ja")&gt;0,N($J4)&gt;=4.2),"Ja","Nein"))</f>
        <v>Ja</v>
      </c>
      <c r="AI4" s="14" t="str">
        <f aca="false">IF($A4="","",IF(AND(OR($L4="DIN 43853 Zählertafel ohne Schutzklasse II",$L4="DIN 43853 Norm-Zählertafel (Schutzklasse II)",$L4="DIN 43870 Norm-Zählertafel mit Vorsicherung"),$AG4&gt;0),Regeln!$E$5,""))</f>
        <v/>
      </c>
      <c r="AJ4" s="14" t="str">
        <f aca="false">IF($A4="","",IF(AND(OR($L4="DIN 43870 Zählerschrank, Trennvorrichtung im AAR",$L4="DIN 43870 Zählerschrank, NH-Sicherung im NAR"),OR($AA4="unter 10 mm² oder starr",$AA4="Unbekannt",$AA4=""),$AG4&gt;0),Regeln!$E$6,""))</f>
        <v/>
      </c>
      <c r="AK4" s="14" t="str">
        <f aca="false">IF($A4="","",IF(AND($V4="Nein",$AG4&gt;0),Regeln!$E$7,""))</f>
        <v/>
      </c>
      <c r="AL4" s="14" t="n">
        <f aca="false">IF($A4="","",IF(AND(OR($AH4="Ja",$I4="Ja"),$O4="Nein"),Regeln!$E$8,""))</f>
        <v>1</v>
      </c>
      <c r="AM4" s="14" t="str">
        <f aca="false">IF($A4="","",IF(AND($K4="Modul 2",N($N4)&lt;1),Regeln!$E$9,""))</f>
        <v/>
      </c>
      <c r="AN4" s="14" t="n">
        <f aca="false">IF($A4="","",IF(AND($P4="Nein",$AG4&gt;0,OR(ISNUMBER(SEARCH("westnetz",$D4)),$M4="3-Punkt")),Regeln!$E$10,""))</f>
        <v>1</v>
      </c>
      <c r="AO4" s="14" t="n">
        <f aca="false">IF($A4="","",IF(AND($Q4="Nein",$AG4&gt;0),Regeln!$E$11,""))</f>
        <v>1</v>
      </c>
      <c r="AP4" s="14" t="str">
        <f aca="false">IF($A4="","",IF(AND($R4="1-phasig",OR(N($J4)&gt;4.6,$I4="Ja")),Regeln!$E$12,""))</f>
        <v/>
      </c>
      <c r="AQ4" s="14" t="str">
        <f aca="false">IF($A4="","",IF(OR($U4="Nein",$U4="Unbekannt"),Regeln!$E$13,""))</f>
        <v/>
      </c>
      <c r="AR4" s="14" t="str">
        <f aca="false">IF($A4="","",IF(OR($S4="TN-C",$S4="Unbekannt"),Regeln!$E$14,""))</f>
        <v/>
      </c>
      <c r="AS4" s="14" t="str">
        <f aca="false">IF($A4="","",IF(AND(N($T4)&gt;0,N($T4)&lt;50,$AG4&gt;=2),Regeln!$E$15,""))</f>
        <v/>
      </c>
      <c r="AT4" s="14" t="str">
        <f aca="false">IF($A4="","",IF(AND($E4="Ja",N($J4)&gt;12),Regeln!$E$16,""))</f>
        <v/>
      </c>
      <c r="AU4" s="14" t="str">
        <f aca="false">IF($A4="","",IF($L4="Unbekannt",Regeln!$E$17,""))</f>
        <v/>
      </c>
      <c r="AV4" s="14" t="n">
        <f aca="false">IF($A4="","",IF(AND(OR($L4="DIN 43870 Zählerschrank, Trennvorrichtung im AAR",$L4="DIN 43870 Zählerschrank, NH-Sicherung im NAR"),$AG4&gt;0),Regeln!$E$18,""))</f>
        <v>1</v>
      </c>
      <c r="AW4" s="14" t="n">
        <f aca="false">IF($A4="","",IF(AND(ISNUMBER(SEARCH("westnetz",$D4)),OR($AH4="Ja",$I4="Ja"),$X4="Nein"),Regeln!$E$19,""))</f>
        <v>1</v>
      </c>
      <c r="AX4" s="14" t="str">
        <f aca="false">IF($A4="","",IF(AND(ISNUMBER(SEARCH("westnetz",$D4)),OR($W4="Relais (potentialfrei)",$W4="Digital + Relais",AND($I4="Ja",N($AC4)&gt;=25)),$Y4="Nein"),Regeln!$E$20,""))</f>
        <v/>
      </c>
      <c r="AY4" s="14" t="str">
        <f aca="false">IF($A4="","",IF(AND(ISNUMBER(SEARCH("westnetz",$D4)),OR($W4="Digital (RJ45 / EEBUS)",$W4="Digital + Relais"),$Z4="Nein"),Regeln!$E$21,""))</f>
        <v/>
      </c>
      <c r="AZ4" s="14" t="str">
        <f aca="false">IF($A4="","",IF(AND(ISNUMBER(SEARCH("westnetz",$D4)),N($AB4)&gt;30),Regeln!$E$22,""))</f>
        <v/>
      </c>
      <c r="BA4" s="14" t="str">
        <f aca="false">IF($A4="","",IF(AND($AA4="10 mm² flexibel",N($AB4)*1000/(SQRT(3)*400)&gt;32),Regeln!$E$23,""))</f>
        <v/>
      </c>
      <c r="BB4" s="14" t="str">
        <f aca="false">IF($A4="","",IF(AND(ISNUMBER(SEARCH("westnetz",$D4)),$I4="Ja",N($AC4)&gt;=25),Regeln!$E$24,""))</f>
        <v/>
      </c>
      <c r="BC4" s="14" t="str">
        <f aca="false">IF($A4="","",IF(AND(ISNUMBER(SEARCH("westnetz",$D4)),$I4="Ja",OR($AH4="Ja",N($AC4)&gt;7)),Regeln!$E$25,""))</f>
        <v/>
      </c>
      <c r="BD4" s="14" t="n">
        <f aca="false">IF($A4="","",IF(AND(ISNUMBER(SEARCH("westnetz",$D4)),$AH4="Ja"),Regeln!$E$26,""))</f>
        <v>0</v>
      </c>
      <c r="BE4" s="14" t="str">
        <f aca="false">IF($A4="","",IF(AND(ISNUMBER(SEARCH("westnetz",$D4)),OR($W4="Relais (potentialfrei)",$W4="Digital + Relais"),$M4="3-Punkt",$AD4="Nein"),Regeln!$E$27,""))</f>
        <v/>
      </c>
      <c r="BF4" s="14" t="str">
        <f aca="false">IF($A4="","",IF(AND(ISNUMBER(SEARCH("westnetz",$D4)),$I4="Ja"),Regeln!$E$28,""))</f>
        <v/>
      </c>
      <c r="BG4" s="14" t="str">
        <f aca="false">IF($A4="","",IF(AND(ISNUMBER(SEARCH("westnetz",$D4)),$H4="Ja"),Regeln!$E$29,""))</f>
        <v/>
      </c>
      <c r="BH4" s="14" t="str">
        <f aca="false">IF($A4="","",IF(AND(ISNUMBER(SEARCH("westnetz",$D4)),OR($W4="Relais (potentialfrei)",$W4="Digital + Relais")),Regeln!$E$30,""))</f>
        <v/>
      </c>
      <c r="BI4" s="15" t="str">
        <f aca="false">IF($A4="","",IF($AG4=0,"Kein Vorhaben",CHOOSE(MAX(AI4:BH4)+1,"Weiterverwendbar","Nachrüsten","Austausch")))</f>
        <v>Nachrüsten</v>
      </c>
      <c r="BJ4" s="16" t="str">
        <f aca="false">IF($A4="","",_xlfn.TEXTJOIN(", ",TRUE(),IF(AI4&lt;&gt;"",AI$3,""),IF(AJ4&lt;&gt;"",AJ$3,""),IF(AK4&lt;&gt;"",AK$3,""),IF(AL4&lt;&gt;"",AL$3,""),IF(AM4&lt;&gt;"",AM$3,""),IF(AN4&lt;&gt;"",AN$3,""),IF(AO4&lt;&gt;"",AO$3,""),IF(AP4&lt;&gt;"",AP$3,""),IF(AQ4&lt;&gt;"",AQ$3,""),IF(AR4&lt;&gt;"",AR$3,""),IF(AS4&lt;&gt;"",AS$3,""),IF(AT4&lt;&gt;"",AT$3,""),IF(AU4&lt;&gt;"",AU$3,""),IF(AV4&lt;&gt;"",AV$3,""),IF(AW4&lt;&gt;"",AW$3,""),IF(AX4&lt;&gt;"",AX$3,""),IF(AY4&lt;&gt;"",AY$3,""),IF(AZ4&lt;&gt;"",AZ$3,""),IF(BA4&lt;&gt;"",BA$3,""),IF(BB4&lt;&gt;"",BB$3,""),IF(BC4&lt;&gt;"",BC$3,""),IF(BD4&lt;&gt;"",BD$3,""),IF(BE4&lt;&gt;"",BE$3,""),IF(BF4&lt;&gt;"",BF$3,""),IF(BG4&lt;&gt;"",BG$3,""),IF(BH4&lt;&gt;"",BH$3,"")))</f>
        <v>R04, R06, R07, R14, R15, R22</v>
      </c>
      <c r="BK4" s="15" t="str">
        <f aca="false">IF(OR($A4="",$AE4=""),"",IF(BI4=$AE4,"Ja","Nein"))</f>
        <v>Ja</v>
      </c>
      <c r="BL4" s="16" t="str">
        <f aca="false">IF($A4="","",IF(NOT(ISNUMBER(SEARCH("westnetz",$D4))),"–",IF($I4="Ja",IF($K4="Modul 2","MK 8 (Kaskade: Z1 SteuVE, Z2 Haushalt)","MK 2 (Überschuss)"),IF($K4="Modul 2","MK 0 + eigener Zählpunkt SteuVE","MK 0"))))</f>
        <v>MK 0</v>
      </c>
    </row>
    <row r="5" customFormat="false" ht="15" hidden="false" customHeight="false" outlineLevel="0" collapsed="false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9"/>
      <c r="AG5" s="14" t="str">
        <f aca="false">IF($A5="","",COUNTIF($E5:$I5,"Ja"))</f>
        <v/>
      </c>
      <c r="AH5" s="14" t="str">
        <f aca="false">IF($A5="","",IF(AND(COUNTIF($E5:$H5,"Ja")&gt;0,N($J5)&gt;=4.2),"Ja","Nein"))</f>
        <v/>
      </c>
      <c r="AI5" s="14" t="str">
        <f aca="false">IF($A5="","",IF(AND(OR($L5="DIN 43853 Zählertafel ohne Schutzklasse II",$L5="DIN 43853 Norm-Zählertafel (Schutzklasse II)",$L5="DIN 43870 Norm-Zählertafel mit Vorsicherung"),$AG5&gt;0),Regeln!$E$5,""))</f>
        <v/>
      </c>
      <c r="AJ5" s="14" t="str">
        <f aca="false">IF($A5="","",IF(AND(OR($L5="DIN 43870 Zählerschrank, Trennvorrichtung im AAR",$L5="DIN 43870 Zählerschrank, NH-Sicherung im NAR"),OR($AA5="unter 10 mm² oder starr",$AA5="Unbekannt",$AA5=""),$AG5&gt;0),Regeln!$E$6,""))</f>
        <v/>
      </c>
      <c r="AK5" s="14" t="str">
        <f aca="false">IF($A5="","",IF(AND($V5="Nein",$AG5&gt;0),Regeln!$E$7,""))</f>
        <v/>
      </c>
      <c r="AL5" s="14" t="str">
        <f aca="false">IF($A5="","",IF(AND(OR($AH5="Ja",$I5="Ja"),$O5="Nein"),Regeln!$E$8,""))</f>
        <v/>
      </c>
      <c r="AM5" s="14" t="str">
        <f aca="false">IF($A5="","",IF(AND($K5="Modul 2",N($N5)&lt;1),Regeln!$E$9,""))</f>
        <v/>
      </c>
      <c r="AN5" s="14" t="str">
        <f aca="false">IF($A5="","",IF(AND($P5="Nein",$AG5&gt;0,OR(ISNUMBER(SEARCH("westnetz",$D5)),$M5="3-Punkt")),Regeln!$E$10,""))</f>
        <v/>
      </c>
      <c r="AO5" s="14" t="str">
        <f aca="false">IF($A5="","",IF(AND($Q5="Nein",$AG5&gt;0),Regeln!$E$11,""))</f>
        <v/>
      </c>
      <c r="AP5" s="14" t="str">
        <f aca="false">IF($A5="","",IF(AND($R5="1-phasig",OR(N($J5)&gt;4.6,$I5="Ja")),Regeln!$E$12,""))</f>
        <v/>
      </c>
      <c r="AQ5" s="14" t="str">
        <f aca="false">IF($A5="","",IF(OR($U5="Nein",$U5="Unbekannt"),Regeln!$E$13,""))</f>
        <v/>
      </c>
      <c r="AR5" s="14" t="str">
        <f aca="false">IF($A5="","",IF(OR($S5="TN-C",$S5="Unbekannt"),Regeln!$E$14,""))</f>
        <v/>
      </c>
      <c r="AS5" s="14" t="str">
        <f aca="false">IF($A5="","",IF(AND(N($T5)&gt;0,N($T5)&lt;50,$AG5&gt;=2),Regeln!$E$15,""))</f>
        <v/>
      </c>
      <c r="AT5" s="14" t="str">
        <f aca="false">IF($A5="","",IF(AND($E5="Ja",N($J5)&gt;12),Regeln!$E$16,""))</f>
        <v/>
      </c>
      <c r="AU5" s="14" t="str">
        <f aca="false">IF($A5="","",IF($L5="Unbekannt",Regeln!$E$17,""))</f>
        <v/>
      </c>
      <c r="AV5" s="14" t="str">
        <f aca="false">IF($A5="","",IF(AND(OR($L5="DIN 43870 Zählerschrank, Trennvorrichtung im AAR",$L5="DIN 43870 Zählerschrank, NH-Sicherung im NAR"),$AG5&gt;0),Regeln!$E$18,""))</f>
        <v/>
      </c>
      <c r="AW5" s="14" t="str">
        <f aca="false">IF($A5="","",IF(AND(ISNUMBER(SEARCH("westnetz",$D5)),OR($AH5="Ja",$I5="Ja"),$X5="Nein"),Regeln!$E$19,""))</f>
        <v/>
      </c>
      <c r="AX5" s="14" t="str">
        <f aca="false">IF($A5="","",IF(AND(ISNUMBER(SEARCH("westnetz",$D5)),OR($W5="Relais (potentialfrei)",$W5="Digital + Relais",AND($I5="Ja",N($AC5)&gt;=25)),$Y5="Nein"),Regeln!$E$20,""))</f>
        <v/>
      </c>
      <c r="AY5" s="14" t="str">
        <f aca="false">IF($A5="","",IF(AND(ISNUMBER(SEARCH("westnetz",$D5)),OR($W5="Digital (RJ45 / EEBUS)",$W5="Digital + Relais"),$Z5="Nein"),Regeln!$E$21,""))</f>
        <v/>
      </c>
      <c r="AZ5" s="14" t="str">
        <f aca="false">IF($A5="","",IF(AND(ISNUMBER(SEARCH("westnetz",$D5)),N($AB5)&gt;30),Regeln!$E$22,""))</f>
        <v/>
      </c>
      <c r="BA5" s="14" t="str">
        <f aca="false">IF($A5="","",IF(AND($AA5="10 mm² flexibel",N($AB5)*1000/(SQRT(3)*400)&gt;32),Regeln!$E$23,""))</f>
        <v/>
      </c>
      <c r="BB5" s="14" t="str">
        <f aca="false">IF($A5="","",IF(AND(ISNUMBER(SEARCH("westnetz",$D5)),$I5="Ja",N($AC5)&gt;=25),Regeln!$E$24,""))</f>
        <v/>
      </c>
      <c r="BC5" s="14" t="str">
        <f aca="false">IF($A5="","",IF(AND(ISNUMBER(SEARCH("westnetz",$D5)),$I5="Ja",OR($AH5="Ja",N($AC5)&gt;7)),Regeln!$E$25,""))</f>
        <v/>
      </c>
      <c r="BD5" s="14" t="str">
        <f aca="false">IF($A5="","",IF(AND(ISNUMBER(SEARCH("westnetz",$D5)),$AH5="Ja"),Regeln!$E$26,""))</f>
        <v/>
      </c>
      <c r="BE5" s="14" t="str">
        <f aca="false">IF($A5="","",IF(AND(ISNUMBER(SEARCH("westnetz",$D5)),OR($W5="Relais (potentialfrei)",$W5="Digital + Relais"),$M5="3-Punkt",$AD5="Nein"),Regeln!$E$27,""))</f>
        <v/>
      </c>
      <c r="BF5" s="14" t="str">
        <f aca="false">IF($A5="","",IF(AND(ISNUMBER(SEARCH("westnetz",$D5)),$I5="Ja"),Regeln!$E$28,""))</f>
        <v/>
      </c>
      <c r="BG5" s="14" t="str">
        <f aca="false">IF($A5="","",IF(AND(ISNUMBER(SEARCH("westnetz",$D5)),$H5="Ja"),Regeln!$E$29,""))</f>
        <v/>
      </c>
      <c r="BH5" s="14" t="str">
        <f aca="false">IF($A5="","",IF(AND(ISNUMBER(SEARCH("westnetz",$D5)),OR($W5="Relais (potentialfrei)",$W5="Digital + Relais")),Regeln!$E$30,""))</f>
        <v/>
      </c>
      <c r="BI5" s="15" t="str">
        <f aca="false">IF($A5="","",IF($AG5=0,"Kein Vorhaben",CHOOSE(MAX(AI5:BH5)+1,"Weiterverwendbar","Nachrüsten","Austausch")))</f>
        <v/>
      </c>
      <c r="BJ5" s="16" t="str">
        <f aca="false">IF($A5="","",_xlfn.TEXTJOIN(", ",TRUE(),IF(AI5&lt;&gt;"",AI$3,""),IF(AJ5&lt;&gt;"",AJ$3,""),IF(AK5&lt;&gt;"",AK$3,""),IF(AL5&lt;&gt;"",AL$3,""),IF(AM5&lt;&gt;"",AM$3,""),IF(AN5&lt;&gt;"",AN$3,""),IF(AO5&lt;&gt;"",AO$3,""),IF(AP5&lt;&gt;"",AP$3,""),IF(AQ5&lt;&gt;"",AQ$3,""),IF(AR5&lt;&gt;"",AR$3,""),IF(AS5&lt;&gt;"",AS$3,""),IF(AT5&lt;&gt;"",AT$3,""),IF(AU5&lt;&gt;"",AU$3,""),IF(AV5&lt;&gt;"",AV$3,""),IF(AW5&lt;&gt;"",AW$3,""),IF(AX5&lt;&gt;"",AX$3,""),IF(AY5&lt;&gt;"",AY$3,""),IF(AZ5&lt;&gt;"",AZ$3,""),IF(BA5&lt;&gt;"",BA$3,""),IF(BB5&lt;&gt;"",BB$3,""),IF(BC5&lt;&gt;"",BC$3,""),IF(BD5&lt;&gt;"",BD$3,""),IF(BE5&lt;&gt;"",BE$3,""),IF(BF5&lt;&gt;"",BF$3,""),IF(BG5&lt;&gt;"",BG$3,""),IF(BH5&lt;&gt;"",BH$3,"")))</f>
        <v/>
      </c>
      <c r="BK5" s="15" t="str">
        <f aca="false">IF(OR($A5="",$AE5=""),"",IF(BI5=$AE5,"Ja","Nein"))</f>
        <v/>
      </c>
      <c r="BL5" s="16" t="str">
        <f aca="false">IF($A5="","",IF(NOT(ISNUMBER(SEARCH("westnetz",$D5))),"–",IF($I5="Ja",IF($K5="Modul 2","MK 8 (Kaskade: Z1 SteuVE, Z2 Haushalt)","MK 2 (Überschuss)"),IF($K5="Modul 2","MK 0 + eigener Zählpunkt SteuVE","MK 0"))))</f>
        <v/>
      </c>
    </row>
    <row r="6" customFormat="false" ht="15" hidden="false" customHeight="false" outlineLevel="0" collapsed="false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9"/>
      <c r="AG6" s="14" t="str">
        <f aca="false">IF($A6="","",COUNTIF($E6:$I6,"Ja"))</f>
        <v/>
      </c>
      <c r="AH6" s="14" t="str">
        <f aca="false">IF($A6="","",IF(AND(COUNTIF($E6:$H6,"Ja")&gt;0,N($J6)&gt;=4.2),"Ja","Nein"))</f>
        <v/>
      </c>
      <c r="AI6" s="14" t="str">
        <f aca="false">IF($A6="","",IF(AND(OR($L6="DIN 43853 Zählertafel ohne Schutzklasse II",$L6="DIN 43853 Norm-Zählertafel (Schutzklasse II)",$L6="DIN 43870 Norm-Zählertafel mit Vorsicherung"),$AG6&gt;0),Regeln!$E$5,""))</f>
        <v/>
      </c>
      <c r="AJ6" s="14" t="str">
        <f aca="false">IF($A6="","",IF(AND(OR($L6="DIN 43870 Zählerschrank, Trennvorrichtung im AAR",$L6="DIN 43870 Zählerschrank, NH-Sicherung im NAR"),OR($AA6="unter 10 mm² oder starr",$AA6="Unbekannt",$AA6=""),$AG6&gt;0),Regeln!$E$6,""))</f>
        <v/>
      </c>
      <c r="AK6" s="14" t="str">
        <f aca="false">IF($A6="","",IF(AND($V6="Nein",$AG6&gt;0),Regeln!$E$7,""))</f>
        <v/>
      </c>
      <c r="AL6" s="14" t="str">
        <f aca="false">IF($A6="","",IF(AND(OR($AH6="Ja",$I6="Ja"),$O6="Nein"),Regeln!$E$8,""))</f>
        <v/>
      </c>
      <c r="AM6" s="14" t="str">
        <f aca="false">IF($A6="","",IF(AND($K6="Modul 2",N($N6)&lt;1),Regeln!$E$9,""))</f>
        <v/>
      </c>
      <c r="AN6" s="14" t="str">
        <f aca="false">IF($A6="","",IF(AND($P6="Nein",$AG6&gt;0,OR(ISNUMBER(SEARCH("westnetz",$D6)),$M6="3-Punkt")),Regeln!$E$10,""))</f>
        <v/>
      </c>
      <c r="AO6" s="14" t="str">
        <f aca="false">IF($A6="","",IF(AND($Q6="Nein",$AG6&gt;0),Regeln!$E$11,""))</f>
        <v/>
      </c>
      <c r="AP6" s="14" t="str">
        <f aca="false">IF($A6="","",IF(AND($R6="1-phasig",OR(N($J6)&gt;4.6,$I6="Ja")),Regeln!$E$12,""))</f>
        <v/>
      </c>
      <c r="AQ6" s="14" t="str">
        <f aca="false">IF($A6="","",IF(OR($U6="Nein",$U6="Unbekannt"),Regeln!$E$13,""))</f>
        <v/>
      </c>
      <c r="AR6" s="14" t="str">
        <f aca="false">IF($A6="","",IF(OR($S6="TN-C",$S6="Unbekannt"),Regeln!$E$14,""))</f>
        <v/>
      </c>
      <c r="AS6" s="14" t="str">
        <f aca="false">IF($A6="","",IF(AND(N($T6)&gt;0,N($T6)&lt;50,$AG6&gt;=2),Regeln!$E$15,""))</f>
        <v/>
      </c>
      <c r="AT6" s="14" t="str">
        <f aca="false">IF($A6="","",IF(AND($E6="Ja",N($J6)&gt;12),Regeln!$E$16,""))</f>
        <v/>
      </c>
      <c r="AU6" s="14" t="str">
        <f aca="false">IF($A6="","",IF($L6="Unbekannt",Regeln!$E$17,""))</f>
        <v/>
      </c>
      <c r="AV6" s="14" t="str">
        <f aca="false">IF($A6="","",IF(AND(OR($L6="DIN 43870 Zählerschrank, Trennvorrichtung im AAR",$L6="DIN 43870 Zählerschrank, NH-Sicherung im NAR"),$AG6&gt;0),Regeln!$E$18,""))</f>
        <v/>
      </c>
      <c r="AW6" s="14" t="str">
        <f aca="false">IF($A6="","",IF(AND(ISNUMBER(SEARCH("westnetz",$D6)),OR($AH6="Ja",$I6="Ja"),$X6="Nein"),Regeln!$E$19,""))</f>
        <v/>
      </c>
      <c r="AX6" s="14" t="str">
        <f aca="false">IF($A6="","",IF(AND(ISNUMBER(SEARCH("westnetz",$D6)),OR($W6="Relais (potentialfrei)",$W6="Digital + Relais",AND($I6="Ja",N($AC6)&gt;=25)),$Y6="Nein"),Regeln!$E$20,""))</f>
        <v/>
      </c>
      <c r="AY6" s="14" t="str">
        <f aca="false">IF($A6="","",IF(AND(ISNUMBER(SEARCH("westnetz",$D6)),OR($W6="Digital (RJ45 / EEBUS)",$W6="Digital + Relais"),$Z6="Nein"),Regeln!$E$21,""))</f>
        <v/>
      </c>
      <c r="AZ6" s="14" t="str">
        <f aca="false">IF($A6="","",IF(AND(ISNUMBER(SEARCH("westnetz",$D6)),N($AB6)&gt;30),Regeln!$E$22,""))</f>
        <v/>
      </c>
      <c r="BA6" s="14" t="str">
        <f aca="false">IF($A6="","",IF(AND($AA6="10 mm² flexibel",N($AB6)*1000/(SQRT(3)*400)&gt;32),Regeln!$E$23,""))</f>
        <v/>
      </c>
      <c r="BB6" s="14" t="str">
        <f aca="false">IF($A6="","",IF(AND(ISNUMBER(SEARCH("westnetz",$D6)),$I6="Ja",N($AC6)&gt;=25),Regeln!$E$24,""))</f>
        <v/>
      </c>
      <c r="BC6" s="14" t="str">
        <f aca="false">IF($A6="","",IF(AND(ISNUMBER(SEARCH("westnetz",$D6)),$I6="Ja",OR($AH6="Ja",N($AC6)&gt;7)),Regeln!$E$25,""))</f>
        <v/>
      </c>
      <c r="BD6" s="14" t="str">
        <f aca="false">IF($A6="","",IF(AND(ISNUMBER(SEARCH("westnetz",$D6)),$AH6="Ja"),Regeln!$E$26,""))</f>
        <v/>
      </c>
      <c r="BE6" s="14" t="str">
        <f aca="false">IF($A6="","",IF(AND(ISNUMBER(SEARCH("westnetz",$D6)),OR($W6="Relais (potentialfrei)",$W6="Digital + Relais"),$M6="3-Punkt",$AD6="Nein"),Regeln!$E$27,""))</f>
        <v/>
      </c>
      <c r="BF6" s="14" t="str">
        <f aca="false">IF($A6="","",IF(AND(ISNUMBER(SEARCH("westnetz",$D6)),$I6="Ja"),Regeln!$E$28,""))</f>
        <v/>
      </c>
      <c r="BG6" s="14" t="str">
        <f aca="false">IF($A6="","",IF(AND(ISNUMBER(SEARCH("westnetz",$D6)),$H6="Ja"),Regeln!$E$29,""))</f>
        <v/>
      </c>
      <c r="BH6" s="14" t="str">
        <f aca="false">IF($A6="","",IF(AND(ISNUMBER(SEARCH("westnetz",$D6)),OR($W6="Relais (potentialfrei)",$W6="Digital + Relais")),Regeln!$E$30,""))</f>
        <v/>
      </c>
      <c r="BI6" s="15" t="str">
        <f aca="false">IF($A6="","",IF($AG6=0,"Kein Vorhaben",CHOOSE(MAX(AI6:BH6)+1,"Weiterverwendbar","Nachrüsten","Austausch")))</f>
        <v/>
      </c>
      <c r="BJ6" s="16" t="str">
        <f aca="false">IF($A6="","",_xlfn.TEXTJOIN(", ",TRUE(),IF(AI6&lt;&gt;"",AI$3,""),IF(AJ6&lt;&gt;"",AJ$3,""),IF(AK6&lt;&gt;"",AK$3,""),IF(AL6&lt;&gt;"",AL$3,""),IF(AM6&lt;&gt;"",AM$3,""),IF(AN6&lt;&gt;"",AN$3,""),IF(AO6&lt;&gt;"",AO$3,""),IF(AP6&lt;&gt;"",AP$3,""),IF(AQ6&lt;&gt;"",AQ$3,""),IF(AR6&lt;&gt;"",AR$3,""),IF(AS6&lt;&gt;"",AS$3,""),IF(AT6&lt;&gt;"",AT$3,""),IF(AU6&lt;&gt;"",AU$3,""),IF(AV6&lt;&gt;"",AV$3,""),IF(AW6&lt;&gt;"",AW$3,""),IF(AX6&lt;&gt;"",AX$3,""),IF(AY6&lt;&gt;"",AY$3,""),IF(AZ6&lt;&gt;"",AZ$3,""),IF(BA6&lt;&gt;"",BA$3,""),IF(BB6&lt;&gt;"",BB$3,""),IF(BC6&lt;&gt;"",BC$3,""),IF(BD6&lt;&gt;"",BD$3,""),IF(BE6&lt;&gt;"",BE$3,""),IF(BF6&lt;&gt;"",BF$3,""),IF(BG6&lt;&gt;"",BG$3,""),IF(BH6&lt;&gt;"",BH$3,"")))</f>
        <v/>
      </c>
      <c r="BK6" s="15" t="str">
        <f aca="false">IF(OR($A6="",$AE6=""),"",IF(BI6=$AE6,"Ja","Nein"))</f>
        <v/>
      </c>
      <c r="BL6" s="16" t="str">
        <f aca="false">IF($A6="","",IF(NOT(ISNUMBER(SEARCH("westnetz",$D6))),"–",IF($I6="Ja",IF($K6="Modul 2","MK 8 (Kaskade: Z1 SteuVE, Z2 Haushalt)","MK 2 (Überschuss)"),IF($K6="Modul 2","MK 0 + eigener Zählpunkt SteuVE","MK 0"))))</f>
        <v/>
      </c>
    </row>
    <row r="7" customFormat="false" ht="15" hidden="false" customHeight="false" outlineLevel="0" collapsed="false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9"/>
      <c r="AG7" s="14" t="str">
        <f aca="false">IF($A7="","",COUNTIF($E7:$I7,"Ja"))</f>
        <v/>
      </c>
      <c r="AH7" s="14" t="str">
        <f aca="false">IF($A7="","",IF(AND(COUNTIF($E7:$H7,"Ja")&gt;0,N($J7)&gt;=4.2),"Ja","Nein"))</f>
        <v/>
      </c>
      <c r="AI7" s="14" t="str">
        <f aca="false">IF($A7="","",IF(AND(OR($L7="DIN 43853 Zählertafel ohne Schutzklasse II",$L7="DIN 43853 Norm-Zählertafel (Schutzklasse II)",$L7="DIN 43870 Norm-Zählertafel mit Vorsicherung"),$AG7&gt;0),Regeln!$E$5,""))</f>
        <v/>
      </c>
      <c r="AJ7" s="14" t="str">
        <f aca="false">IF($A7="","",IF(AND(OR($L7="DIN 43870 Zählerschrank, Trennvorrichtung im AAR",$L7="DIN 43870 Zählerschrank, NH-Sicherung im NAR"),OR($AA7="unter 10 mm² oder starr",$AA7="Unbekannt",$AA7=""),$AG7&gt;0),Regeln!$E$6,""))</f>
        <v/>
      </c>
      <c r="AK7" s="14" t="str">
        <f aca="false">IF($A7="","",IF(AND($V7="Nein",$AG7&gt;0),Regeln!$E$7,""))</f>
        <v/>
      </c>
      <c r="AL7" s="14" t="str">
        <f aca="false">IF($A7="","",IF(AND(OR($AH7="Ja",$I7="Ja"),$O7="Nein"),Regeln!$E$8,""))</f>
        <v/>
      </c>
      <c r="AM7" s="14" t="str">
        <f aca="false">IF($A7="","",IF(AND($K7="Modul 2",N($N7)&lt;1),Regeln!$E$9,""))</f>
        <v/>
      </c>
      <c r="AN7" s="14" t="str">
        <f aca="false">IF($A7="","",IF(AND($P7="Nein",$AG7&gt;0,OR(ISNUMBER(SEARCH("westnetz",$D7)),$M7="3-Punkt")),Regeln!$E$10,""))</f>
        <v/>
      </c>
      <c r="AO7" s="14" t="str">
        <f aca="false">IF($A7="","",IF(AND($Q7="Nein",$AG7&gt;0),Regeln!$E$11,""))</f>
        <v/>
      </c>
      <c r="AP7" s="14" t="str">
        <f aca="false">IF($A7="","",IF(AND($R7="1-phasig",OR(N($J7)&gt;4.6,$I7="Ja")),Regeln!$E$12,""))</f>
        <v/>
      </c>
      <c r="AQ7" s="14" t="str">
        <f aca="false">IF($A7="","",IF(OR($U7="Nein",$U7="Unbekannt"),Regeln!$E$13,""))</f>
        <v/>
      </c>
      <c r="AR7" s="14" t="str">
        <f aca="false">IF($A7="","",IF(OR($S7="TN-C",$S7="Unbekannt"),Regeln!$E$14,""))</f>
        <v/>
      </c>
      <c r="AS7" s="14" t="str">
        <f aca="false">IF($A7="","",IF(AND(N($T7)&gt;0,N($T7)&lt;50,$AG7&gt;=2),Regeln!$E$15,""))</f>
        <v/>
      </c>
      <c r="AT7" s="14" t="str">
        <f aca="false">IF($A7="","",IF(AND($E7="Ja",N($J7)&gt;12),Regeln!$E$16,""))</f>
        <v/>
      </c>
      <c r="AU7" s="14" t="str">
        <f aca="false">IF($A7="","",IF($L7="Unbekannt",Regeln!$E$17,""))</f>
        <v/>
      </c>
      <c r="AV7" s="14" t="str">
        <f aca="false">IF($A7="","",IF(AND(OR($L7="DIN 43870 Zählerschrank, Trennvorrichtung im AAR",$L7="DIN 43870 Zählerschrank, NH-Sicherung im NAR"),$AG7&gt;0),Regeln!$E$18,""))</f>
        <v/>
      </c>
      <c r="AW7" s="14" t="str">
        <f aca="false">IF($A7="","",IF(AND(ISNUMBER(SEARCH("westnetz",$D7)),OR($AH7="Ja",$I7="Ja"),$X7="Nein"),Regeln!$E$19,""))</f>
        <v/>
      </c>
      <c r="AX7" s="14" t="str">
        <f aca="false">IF($A7="","",IF(AND(ISNUMBER(SEARCH("westnetz",$D7)),OR($W7="Relais (potentialfrei)",$W7="Digital + Relais",AND($I7="Ja",N($AC7)&gt;=25)),$Y7="Nein"),Regeln!$E$20,""))</f>
        <v/>
      </c>
      <c r="AY7" s="14" t="str">
        <f aca="false">IF($A7="","",IF(AND(ISNUMBER(SEARCH("westnetz",$D7)),OR($W7="Digital (RJ45 / EEBUS)",$W7="Digital + Relais"),$Z7="Nein"),Regeln!$E$21,""))</f>
        <v/>
      </c>
      <c r="AZ7" s="14" t="str">
        <f aca="false">IF($A7="","",IF(AND(ISNUMBER(SEARCH("westnetz",$D7)),N($AB7)&gt;30),Regeln!$E$22,""))</f>
        <v/>
      </c>
      <c r="BA7" s="14" t="str">
        <f aca="false">IF($A7="","",IF(AND($AA7="10 mm² flexibel",N($AB7)*1000/(SQRT(3)*400)&gt;32),Regeln!$E$23,""))</f>
        <v/>
      </c>
      <c r="BB7" s="14" t="str">
        <f aca="false">IF($A7="","",IF(AND(ISNUMBER(SEARCH("westnetz",$D7)),$I7="Ja",N($AC7)&gt;=25),Regeln!$E$24,""))</f>
        <v/>
      </c>
      <c r="BC7" s="14" t="str">
        <f aca="false">IF($A7="","",IF(AND(ISNUMBER(SEARCH("westnetz",$D7)),$I7="Ja",OR($AH7="Ja",N($AC7)&gt;7)),Regeln!$E$25,""))</f>
        <v/>
      </c>
      <c r="BD7" s="14" t="str">
        <f aca="false">IF($A7="","",IF(AND(ISNUMBER(SEARCH("westnetz",$D7)),$AH7="Ja"),Regeln!$E$26,""))</f>
        <v/>
      </c>
      <c r="BE7" s="14" t="str">
        <f aca="false">IF($A7="","",IF(AND(ISNUMBER(SEARCH("westnetz",$D7)),OR($W7="Relais (potentialfrei)",$W7="Digital + Relais"),$M7="3-Punkt",$AD7="Nein"),Regeln!$E$27,""))</f>
        <v/>
      </c>
      <c r="BF7" s="14" t="str">
        <f aca="false">IF($A7="","",IF(AND(ISNUMBER(SEARCH("westnetz",$D7)),$I7="Ja"),Regeln!$E$28,""))</f>
        <v/>
      </c>
      <c r="BG7" s="14" t="str">
        <f aca="false">IF($A7="","",IF(AND(ISNUMBER(SEARCH("westnetz",$D7)),$H7="Ja"),Regeln!$E$29,""))</f>
        <v/>
      </c>
      <c r="BH7" s="14" t="str">
        <f aca="false">IF($A7="","",IF(AND(ISNUMBER(SEARCH("westnetz",$D7)),OR($W7="Relais (potentialfrei)",$W7="Digital + Relais")),Regeln!$E$30,""))</f>
        <v/>
      </c>
      <c r="BI7" s="15" t="str">
        <f aca="false">IF($A7="","",IF($AG7=0,"Kein Vorhaben",CHOOSE(MAX(AI7:BH7)+1,"Weiterverwendbar","Nachrüsten","Austausch")))</f>
        <v/>
      </c>
      <c r="BJ7" s="16" t="str">
        <f aca="false">IF($A7="","",_xlfn.TEXTJOIN(", ",TRUE(),IF(AI7&lt;&gt;"",AI$3,""),IF(AJ7&lt;&gt;"",AJ$3,""),IF(AK7&lt;&gt;"",AK$3,""),IF(AL7&lt;&gt;"",AL$3,""),IF(AM7&lt;&gt;"",AM$3,""),IF(AN7&lt;&gt;"",AN$3,""),IF(AO7&lt;&gt;"",AO$3,""),IF(AP7&lt;&gt;"",AP$3,""),IF(AQ7&lt;&gt;"",AQ$3,""),IF(AR7&lt;&gt;"",AR$3,""),IF(AS7&lt;&gt;"",AS$3,""),IF(AT7&lt;&gt;"",AT$3,""),IF(AU7&lt;&gt;"",AU$3,""),IF(AV7&lt;&gt;"",AV$3,""),IF(AW7&lt;&gt;"",AW$3,""),IF(AX7&lt;&gt;"",AX$3,""),IF(AY7&lt;&gt;"",AY$3,""),IF(AZ7&lt;&gt;"",AZ$3,""),IF(BA7&lt;&gt;"",BA$3,""),IF(BB7&lt;&gt;"",BB$3,""),IF(BC7&lt;&gt;"",BC$3,""),IF(BD7&lt;&gt;"",BD$3,""),IF(BE7&lt;&gt;"",BE$3,""),IF(BF7&lt;&gt;"",BF$3,""),IF(BG7&lt;&gt;"",BG$3,""),IF(BH7&lt;&gt;"",BH$3,"")))</f>
        <v/>
      </c>
      <c r="BK7" s="15" t="str">
        <f aca="false">IF(OR($A7="",$AE7=""),"",IF(BI7=$AE7,"Ja","Nein"))</f>
        <v/>
      </c>
      <c r="BL7" s="16" t="str">
        <f aca="false">IF($A7="","",IF(NOT(ISNUMBER(SEARCH("westnetz",$D7))),"–",IF($I7="Ja",IF($K7="Modul 2","MK 8 (Kaskade: Z1 SteuVE, Z2 Haushalt)","MK 2 (Überschuss)"),IF($K7="Modul 2","MK 0 + eigener Zählpunkt SteuVE","MK 0"))))</f>
        <v/>
      </c>
    </row>
    <row r="8" customFormat="false" ht="15" hidden="false" customHeight="false" outlineLevel="0" collapsed="false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9"/>
      <c r="AG8" s="14" t="str">
        <f aca="false">IF($A8="","",COUNTIF($E8:$I8,"Ja"))</f>
        <v/>
      </c>
      <c r="AH8" s="14" t="str">
        <f aca="false">IF($A8="","",IF(AND(COUNTIF($E8:$H8,"Ja")&gt;0,N($J8)&gt;=4.2),"Ja","Nein"))</f>
        <v/>
      </c>
      <c r="AI8" s="14" t="str">
        <f aca="false">IF($A8="","",IF(AND(OR($L8="DIN 43853 Zählertafel ohne Schutzklasse II",$L8="DIN 43853 Norm-Zählertafel (Schutzklasse II)",$L8="DIN 43870 Norm-Zählertafel mit Vorsicherung"),$AG8&gt;0),Regeln!$E$5,""))</f>
        <v/>
      </c>
      <c r="AJ8" s="14" t="str">
        <f aca="false">IF($A8="","",IF(AND(OR($L8="DIN 43870 Zählerschrank, Trennvorrichtung im AAR",$L8="DIN 43870 Zählerschrank, NH-Sicherung im NAR"),OR($AA8="unter 10 mm² oder starr",$AA8="Unbekannt",$AA8=""),$AG8&gt;0),Regeln!$E$6,""))</f>
        <v/>
      </c>
      <c r="AK8" s="14" t="str">
        <f aca="false">IF($A8="","",IF(AND($V8="Nein",$AG8&gt;0),Regeln!$E$7,""))</f>
        <v/>
      </c>
      <c r="AL8" s="14" t="str">
        <f aca="false">IF($A8="","",IF(AND(OR($AH8="Ja",$I8="Ja"),$O8="Nein"),Regeln!$E$8,""))</f>
        <v/>
      </c>
      <c r="AM8" s="14" t="str">
        <f aca="false">IF($A8="","",IF(AND($K8="Modul 2",N($N8)&lt;1),Regeln!$E$9,""))</f>
        <v/>
      </c>
      <c r="AN8" s="14" t="str">
        <f aca="false">IF($A8="","",IF(AND($P8="Nein",$AG8&gt;0,OR(ISNUMBER(SEARCH("westnetz",$D8)),$M8="3-Punkt")),Regeln!$E$10,""))</f>
        <v/>
      </c>
      <c r="AO8" s="14" t="str">
        <f aca="false">IF($A8="","",IF(AND($Q8="Nein",$AG8&gt;0),Regeln!$E$11,""))</f>
        <v/>
      </c>
      <c r="AP8" s="14" t="str">
        <f aca="false">IF($A8="","",IF(AND($R8="1-phasig",OR(N($J8)&gt;4.6,$I8="Ja")),Regeln!$E$12,""))</f>
        <v/>
      </c>
      <c r="AQ8" s="14" t="str">
        <f aca="false">IF($A8="","",IF(OR($U8="Nein",$U8="Unbekannt"),Regeln!$E$13,""))</f>
        <v/>
      </c>
      <c r="AR8" s="14" t="str">
        <f aca="false">IF($A8="","",IF(OR($S8="TN-C",$S8="Unbekannt"),Regeln!$E$14,""))</f>
        <v/>
      </c>
      <c r="AS8" s="14" t="str">
        <f aca="false">IF($A8="","",IF(AND(N($T8)&gt;0,N($T8)&lt;50,$AG8&gt;=2),Regeln!$E$15,""))</f>
        <v/>
      </c>
      <c r="AT8" s="14" t="str">
        <f aca="false">IF($A8="","",IF(AND($E8="Ja",N($J8)&gt;12),Regeln!$E$16,""))</f>
        <v/>
      </c>
      <c r="AU8" s="14" t="str">
        <f aca="false">IF($A8="","",IF($L8="Unbekannt",Regeln!$E$17,""))</f>
        <v/>
      </c>
      <c r="AV8" s="14" t="str">
        <f aca="false">IF($A8="","",IF(AND(OR($L8="DIN 43870 Zählerschrank, Trennvorrichtung im AAR",$L8="DIN 43870 Zählerschrank, NH-Sicherung im NAR"),$AG8&gt;0),Regeln!$E$18,""))</f>
        <v/>
      </c>
      <c r="AW8" s="14" t="str">
        <f aca="false">IF($A8="","",IF(AND(ISNUMBER(SEARCH("westnetz",$D8)),OR($AH8="Ja",$I8="Ja"),$X8="Nein"),Regeln!$E$19,""))</f>
        <v/>
      </c>
      <c r="AX8" s="14" t="str">
        <f aca="false">IF($A8="","",IF(AND(ISNUMBER(SEARCH("westnetz",$D8)),OR($W8="Relais (potentialfrei)",$W8="Digital + Relais",AND($I8="Ja",N($AC8)&gt;=25)),$Y8="Nein"),Regeln!$E$20,""))</f>
        <v/>
      </c>
      <c r="AY8" s="14" t="str">
        <f aca="false">IF($A8="","",IF(AND(ISNUMBER(SEARCH("westnetz",$D8)),OR($W8="Digital (RJ45 / EEBUS)",$W8="Digital + Relais"),$Z8="Nein"),Regeln!$E$21,""))</f>
        <v/>
      </c>
      <c r="AZ8" s="14" t="str">
        <f aca="false">IF($A8="","",IF(AND(ISNUMBER(SEARCH("westnetz",$D8)),N($AB8)&gt;30),Regeln!$E$22,""))</f>
        <v/>
      </c>
      <c r="BA8" s="14" t="str">
        <f aca="false">IF($A8="","",IF(AND($AA8="10 mm² flexibel",N($AB8)*1000/(SQRT(3)*400)&gt;32),Regeln!$E$23,""))</f>
        <v/>
      </c>
      <c r="BB8" s="14" t="str">
        <f aca="false">IF($A8="","",IF(AND(ISNUMBER(SEARCH("westnetz",$D8)),$I8="Ja",N($AC8)&gt;=25),Regeln!$E$24,""))</f>
        <v/>
      </c>
      <c r="BC8" s="14" t="str">
        <f aca="false">IF($A8="","",IF(AND(ISNUMBER(SEARCH("westnetz",$D8)),$I8="Ja",OR($AH8="Ja",N($AC8)&gt;7)),Regeln!$E$25,""))</f>
        <v/>
      </c>
      <c r="BD8" s="14" t="str">
        <f aca="false">IF($A8="","",IF(AND(ISNUMBER(SEARCH("westnetz",$D8)),$AH8="Ja"),Regeln!$E$26,""))</f>
        <v/>
      </c>
      <c r="BE8" s="14" t="str">
        <f aca="false">IF($A8="","",IF(AND(ISNUMBER(SEARCH("westnetz",$D8)),OR($W8="Relais (potentialfrei)",$W8="Digital + Relais"),$M8="3-Punkt",$AD8="Nein"),Regeln!$E$27,""))</f>
        <v/>
      </c>
      <c r="BF8" s="14" t="str">
        <f aca="false">IF($A8="","",IF(AND(ISNUMBER(SEARCH("westnetz",$D8)),$I8="Ja"),Regeln!$E$28,""))</f>
        <v/>
      </c>
      <c r="BG8" s="14" t="str">
        <f aca="false">IF($A8="","",IF(AND(ISNUMBER(SEARCH("westnetz",$D8)),$H8="Ja"),Regeln!$E$29,""))</f>
        <v/>
      </c>
      <c r="BH8" s="14" t="str">
        <f aca="false">IF($A8="","",IF(AND(ISNUMBER(SEARCH("westnetz",$D8)),OR($W8="Relais (potentialfrei)",$W8="Digital + Relais")),Regeln!$E$30,""))</f>
        <v/>
      </c>
      <c r="BI8" s="15" t="str">
        <f aca="false">IF($A8="","",IF($AG8=0,"Kein Vorhaben",CHOOSE(MAX(AI8:BH8)+1,"Weiterverwendbar","Nachrüsten","Austausch")))</f>
        <v/>
      </c>
      <c r="BJ8" s="16" t="str">
        <f aca="false">IF($A8="","",_xlfn.TEXTJOIN(", ",TRUE(),IF(AI8&lt;&gt;"",AI$3,""),IF(AJ8&lt;&gt;"",AJ$3,""),IF(AK8&lt;&gt;"",AK$3,""),IF(AL8&lt;&gt;"",AL$3,""),IF(AM8&lt;&gt;"",AM$3,""),IF(AN8&lt;&gt;"",AN$3,""),IF(AO8&lt;&gt;"",AO$3,""),IF(AP8&lt;&gt;"",AP$3,""),IF(AQ8&lt;&gt;"",AQ$3,""),IF(AR8&lt;&gt;"",AR$3,""),IF(AS8&lt;&gt;"",AS$3,""),IF(AT8&lt;&gt;"",AT$3,""),IF(AU8&lt;&gt;"",AU$3,""),IF(AV8&lt;&gt;"",AV$3,""),IF(AW8&lt;&gt;"",AW$3,""),IF(AX8&lt;&gt;"",AX$3,""),IF(AY8&lt;&gt;"",AY$3,""),IF(AZ8&lt;&gt;"",AZ$3,""),IF(BA8&lt;&gt;"",BA$3,""),IF(BB8&lt;&gt;"",BB$3,""),IF(BC8&lt;&gt;"",BC$3,""),IF(BD8&lt;&gt;"",BD$3,""),IF(BE8&lt;&gt;"",BE$3,""),IF(BF8&lt;&gt;"",BF$3,""),IF(BG8&lt;&gt;"",BG$3,""),IF(BH8&lt;&gt;"",BH$3,"")))</f>
        <v/>
      </c>
      <c r="BK8" s="15" t="str">
        <f aca="false">IF(OR($A8="",$AE8=""),"",IF(BI8=$AE8,"Ja","Nein"))</f>
        <v/>
      </c>
      <c r="BL8" s="16" t="str">
        <f aca="false">IF($A8="","",IF(NOT(ISNUMBER(SEARCH("westnetz",$D8))),"–",IF($I8="Ja",IF($K8="Modul 2","MK 8 (Kaskade: Z1 SteuVE, Z2 Haushalt)","MK 2 (Überschuss)"),IF($K8="Modul 2","MK 0 + eigener Zählpunkt SteuVE","MK 0"))))</f>
        <v/>
      </c>
    </row>
    <row r="9" customFormat="false" ht="15" hidden="false" customHeight="false" outlineLevel="0" collapsed="false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9"/>
      <c r="AG9" s="14" t="str">
        <f aca="false">IF($A9="","",COUNTIF($E9:$I9,"Ja"))</f>
        <v/>
      </c>
      <c r="AH9" s="14" t="str">
        <f aca="false">IF($A9="","",IF(AND(COUNTIF($E9:$H9,"Ja")&gt;0,N($J9)&gt;=4.2),"Ja","Nein"))</f>
        <v/>
      </c>
      <c r="AI9" s="14" t="str">
        <f aca="false">IF($A9="","",IF(AND(OR($L9="DIN 43853 Zählertafel ohne Schutzklasse II",$L9="DIN 43853 Norm-Zählertafel (Schutzklasse II)",$L9="DIN 43870 Norm-Zählertafel mit Vorsicherung"),$AG9&gt;0),Regeln!$E$5,""))</f>
        <v/>
      </c>
      <c r="AJ9" s="14" t="str">
        <f aca="false">IF($A9="","",IF(AND(OR($L9="DIN 43870 Zählerschrank, Trennvorrichtung im AAR",$L9="DIN 43870 Zählerschrank, NH-Sicherung im NAR"),OR($AA9="unter 10 mm² oder starr",$AA9="Unbekannt",$AA9=""),$AG9&gt;0),Regeln!$E$6,""))</f>
        <v/>
      </c>
      <c r="AK9" s="14" t="str">
        <f aca="false">IF($A9="","",IF(AND($V9="Nein",$AG9&gt;0),Regeln!$E$7,""))</f>
        <v/>
      </c>
      <c r="AL9" s="14" t="str">
        <f aca="false">IF($A9="","",IF(AND(OR($AH9="Ja",$I9="Ja"),$O9="Nein"),Regeln!$E$8,""))</f>
        <v/>
      </c>
      <c r="AM9" s="14" t="str">
        <f aca="false">IF($A9="","",IF(AND($K9="Modul 2",N($N9)&lt;1),Regeln!$E$9,""))</f>
        <v/>
      </c>
      <c r="AN9" s="14" t="str">
        <f aca="false">IF($A9="","",IF(AND($P9="Nein",$AG9&gt;0,OR(ISNUMBER(SEARCH("westnetz",$D9)),$M9="3-Punkt")),Regeln!$E$10,""))</f>
        <v/>
      </c>
      <c r="AO9" s="14" t="str">
        <f aca="false">IF($A9="","",IF(AND($Q9="Nein",$AG9&gt;0),Regeln!$E$11,""))</f>
        <v/>
      </c>
      <c r="AP9" s="14" t="str">
        <f aca="false">IF($A9="","",IF(AND($R9="1-phasig",OR(N($J9)&gt;4.6,$I9="Ja")),Regeln!$E$12,""))</f>
        <v/>
      </c>
      <c r="AQ9" s="14" t="str">
        <f aca="false">IF($A9="","",IF(OR($U9="Nein",$U9="Unbekannt"),Regeln!$E$13,""))</f>
        <v/>
      </c>
      <c r="AR9" s="14" t="str">
        <f aca="false">IF($A9="","",IF(OR($S9="TN-C",$S9="Unbekannt"),Regeln!$E$14,""))</f>
        <v/>
      </c>
      <c r="AS9" s="14" t="str">
        <f aca="false">IF($A9="","",IF(AND(N($T9)&gt;0,N($T9)&lt;50,$AG9&gt;=2),Regeln!$E$15,""))</f>
        <v/>
      </c>
      <c r="AT9" s="14" t="str">
        <f aca="false">IF($A9="","",IF(AND($E9="Ja",N($J9)&gt;12),Regeln!$E$16,""))</f>
        <v/>
      </c>
      <c r="AU9" s="14" t="str">
        <f aca="false">IF($A9="","",IF($L9="Unbekannt",Regeln!$E$17,""))</f>
        <v/>
      </c>
      <c r="AV9" s="14" t="str">
        <f aca="false">IF($A9="","",IF(AND(OR($L9="DIN 43870 Zählerschrank, Trennvorrichtung im AAR",$L9="DIN 43870 Zählerschrank, NH-Sicherung im NAR"),$AG9&gt;0),Regeln!$E$18,""))</f>
        <v/>
      </c>
      <c r="AW9" s="14" t="str">
        <f aca="false">IF($A9="","",IF(AND(ISNUMBER(SEARCH("westnetz",$D9)),OR($AH9="Ja",$I9="Ja"),$X9="Nein"),Regeln!$E$19,""))</f>
        <v/>
      </c>
      <c r="AX9" s="14" t="str">
        <f aca="false">IF($A9="","",IF(AND(ISNUMBER(SEARCH("westnetz",$D9)),OR($W9="Relais (potentialfrei)",$W9="Digital + Relais",AND($I9="Ja",N($AC9)&gt;=25)),$Y9="Nein"),Regeln!$E$20,""))</f>
        <v/>
      </c>
      <c r="AY9" s="14" t="str">
        <f aca="false">IF($A9="","",IF(AND(ISNUMBER(SEARCH("westnetz",$D9)),OR($W9="Digital (RJ45 / EEBUS)",$W9="Digital + Relais"),$Z9="Nein"),Regeln!$E$21,""))</f>
        <v/>
      </c>
      <c r="AZ9" s="14" t="str">
        <f aca="false">IF($A9="","",IF(AND(ISNUMBER(SEARCH("westnetz",$D9)),N($AB9)&gt;30),Regeln!$E$22,""))</f>
        <v/>
      </c>
      <c r="BA9" s="14" t="str">
        <f aca="false">IF($A9="","",IF(AND($AA9="10 mm² flexibel",N($AB9)*1000/(SQRT(3)*400)&gt;32),Regeln!$E$23,""))</f>
        <v/>
      </c>
      <c r="BB9" s="14" t="str">
        <f aca="false">IF($A9="","",IF(AND(ISNUMBER(SEARCH("westnetz",$D9)),$I9="Ja",N($AC9)&gt;=25),Regeln!$E$24,""))</f>
        <v/>
      </c>
      <c r="BC9" s="14" t="str">
        <f aca="false">IF($A9="","",IF(AND(ISNUMBER(SEARCH("westnetz",$D9)),$I9="Ja",OR($AH9="Ja",N($AC9)&gt;7)),Regeln!$E$25,""))</f>
        <v/>
      </c>
      <c r="BD9" s="14" t="str">
        <f aca="false">IF($A9="","",IF(AND(ISNUMBER(SEARCH("westnetz",$D9)),$AH9="Ja"),Regeln!$E$26,""))</f>
        <v/>
      </c>
      <c r="BE9" s="14" t="str">
        <f aca="false">IF($A9="","",IF(AND(ISNUMBER(SEARCH("westnetz",$D9)),OR($W9="Relais (potentialfrei)",$W9="Digital + Relais"),$M9="3-Punkt",$AD9="Nein"),Regeln!$E$27,""))</f>
        <v/>
      </c>
      <c r="BF9" s="14" t="str">
        <f aca="false">IF($A9="","",IF(AND(ISNUMBER(SEARCH("westnetz",$D9)),$I9="Ja"),Regeln!$E$28,""))</f>
        <v/>
      </c>
      <c r="BG9" s="14" t="str">
        <f aca="false">IF($A9="","",IF(AND(ISNUMBER(SEARCH("westnetz",$D9)),$H9="Ja"),Regeln!$E$29,""))</f>
        <v/>
      </c>
      <c r="BH9" s="14" t="str">
        <f aca="false">IF($A9="","",IF(AND(ISNUMBER(SEARCH("westnetz",$D9)),OR($W9="Relais (potentialfrei)",$W9="Digital + Relais")),Regeln!$E$30,""))</f>
        <v/>
      </c>
      <c r="BI9" s="15" t="str">
        <f aca="false">IF($A9="","",IF($AG9=0,"Kein Vorhaben",CHOOSE(MAX(AI9:BH9)+1,"Weiterverwendbar","Nachrüsten","Austausch")))</f>
        <v/>
      </c>
      <c r="BJ9" s="16" t="str">
        <f aca="false">IF($A9="","",_xlfn.TEXTJOIN(", ",TRUE(),IF(AI9&lt;&gt;"",AI$3,""),IF(AJ9&lt;&gt;"",AJ$3,""),IF(AK9&lt;&gt;"",AK$3,""),IF(AL9&lt;&gt;"",AL$3,""),IF(AM9&lt;&gt;"",AM$3,""),IF(AN9&lt;&gt;"",AN$3,""),IF(AO9&lt;&gt;"",AO$3,""),IF(AP9&lt;&gt;"",AP$3,""),IF(AQ9&lt;&gt;"",AQ$3,""),IF(AR9&lt;&gt;"",AR$3,""),IF(AS9&lt;&gt;"",AS$3,""),IF(AT9&lt;&gt;"",AT$3,""),IF(AU9&lt;&gt;"",AU$3,""),IF(AV9&lt;&gt;"",AV$3,""),IF(AW9&lt;&gt;"",AW$3,""),IF(AX9&lt;&gt;"",AX$3,""),IF(AY9&lt;&gt;"",AY$3,""),IF(AZ9&lt;&gt;"",AZ$3,""),IF(BA9&lt;&gt;"",BA$3,""),IF(BB9&lt;&gt;"",BB$3,""),IF(BC9&lt;&gt;"",BC$3,""),IF(BD9&lt;&gt;"",BD$3,""),IF(BE9&lt;&gt;"",BE$3,""),IF(BF9&lt;&gt;"",BF$3,""),IF(BG9&lt;&gt;"",BG$3,""),IF(BH9&lt;&gt;"",BH$3,"")))</f>
        <v/>
      </c>
      <c r="BK9" s="15" t="str">
        <f aca="false">IF(OR($A9="",$AE9=""),"",IF(BI9=$AE9,"Ja","Nein"))</f>
        <v/>
      </c>
      <c r="BL9" s="16" t="str">
        <f aca="false">IF($A9="","",IF(NOT(ISNUMBER(SEARCH("westnetz",$D9))),"–",IF($I9="Ja",IF($K9="Modul 2","MK 8 (Kaskade: Z1 SteuVE, Z2 Haushalt)","MK 2 (Überschuss)"),IF($K9="Modul 2","MK 0 + eigener Zählpunkt SteuVE","MK 0"))))</f>
        <v/>
      </c>
    </row>
    <row r="10" customFormat="false" ht="1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9"/>
      <c r="AG10" s="14" t="str">
        <f aca="false">IF($A10="","",COUNTIF($E10:$I10,"Ja"))</f>
        <v/>
      </c>
      <c r="AH10" s="14" t="str">
        <f aca="false">IF($A10="","",IF(AND(COUNTIF($E10:$H10,"Ja")&gt;0,N($J10)&gt;=4.2),"Ja","Nein"))</f>
        <v/>
      </c>
      <c r="AI10" s="14" t="str">
        <f aca="false">IF($A10="","",IF(AND(OR($L10="DIN 43853 Zählertafel ohne Schutzklasse II",$L10="DIN 43853 Norm-Zählertafel (Schutzklasse II)",$L10="DIN 43870 Norm-Zählertafel mit Vorsicherung"),$AG10&gt;0),Regeln!$E$5,""))</f>
        <v/>
      </c>
      <c r="AJ10" s="14" t="str">
        <f aca="false">IF($A10="","",IF(AND(OR($L10="DIN 43870 Zählerschrank, Trennvorrichtung im AAR",$L10="DIN 43870 Zählerschrank, NH-Sicherung im NAR"),OR($AA10="unter 10 mm² oder starr",$AA10="Unbekannt",$AA10=""),$AG10&gt;0),Regeln!$E$6,""))</f>
        <v/>
      </c>
      <c r="AK10" s="14" t="str">
        <f aca="false">IF($A10="","",IF(AND($V10="Nein",$AG10&gt;0),Regeln!$E$7,""))</f>
        <v/>
      </c>
      <c r="AL10" s="14" t="str">
        <f aca="false">IF($A10="","",IF(AND(OR($AH10="Ja",$I10="Ja"),$O10="Nein"),Regeln!$E$8,""))</f>
        <v/>
      </c>
      <c r="AM10" s="14" t="str">
        <f aca="false">IF($A10="","",IF(AND($K10="Modul 2",N($N10)&lt;1),Regeln!$E$9,""))</f>
        <v/>
      </c>
      <c r="AN10" s="14" t="str">
        <f aca="false">IF($A10="","",IF(AND($P10="Nein",$AG10&gt;0,OR(ISNUMBER(SEARCH("westnetz",$D10)),$M10="3-Punkt")),Regeln!$E$10,""))</f>
        <v/>
      </c>
      <c r="AO10" s="14" t="str">
        <f aca="false">IF($A10="","",IF(AND($Q10="Nein",$AG10&gt;0),Regeln!$E$11,""))</f>
        <v/>
      </c>
      <c r="AP10" s="14" t="str">
        <f aca="false">IF($A10="","",IF(AND($R10="1-phasig",OR(N($J10)&gt;4.6,$I10="Ja")),Regeln!$E$12,""))</f>
        <v/>
      </c>
      <c r="AQ10" s="14" t="str">
        <f aca="false">IF($A10="","",IF(OR($U10="Nein",$U10="Unbekannt"),Regeln!$E$13,""))</f>
        <v/>
      </c>
      <c r="AR10" s="14" t="str">
        <f aca="false">IF($A10="","",IF(OR($S10="TN-C",$S10="Unbekannt"),Regeln!$E$14,""))</f>
        <v/>
      </c>
      <c r="AS10" s="14" t="str">
        <f aca="false">IF($A10="","",IF(AND(N($T10)&gt;0,N($T10)&lt;50,$AG10&gt;=2),Regeln!$E$15,""))</f>
        <v/>
      </c>
      <c r="AT10" s="14" t="str">
        <f aca="false">IF($A10="","",IF(AND($E10="Ja",N($J10)&gt;12),Regeln!$E$16,""))</f>
        <v/>
      </c>
      <c r="AU10" s="14" t="str">
        <f aca="false">IF($A10="","",IF($L10="Unbekannt",Regeln!$E$17,""))</f>
        <v/>
      </c>
      <c r="AV10" s="14" t="str">
        <f aca="false">IF($A10="","",IF(AND(OR($L10="DIN 43870 Zählerschrank, Trennvorrichtung im AAR",$L10="DIN 43870 Zählerschrank, NH-Sicherung im NAR"),$AG10&gt;0),Regeln!$E$18,""))</f>
        <v/>
      </c>
      <c r="AW10" s="14" t="str">
        <f aca="false">IF($A10="","",IF(AND(ISNUMBER(SEARCH("westnetz",$D10)),OR($AH10="Ja",$I10="Ja"),$X10="Nein"),Regeln!$E$19,""))</f>
        <v/>
      </c>
      <c r="AX10" s="14" t="str">
        <f aca="false">IF($A10="","",IF(AND(ISNUMBER(SEARCH("westnetz",$D10)),OR($W10="Relais (potentialfrei)",$W10="Digital + Relais",AND($I10="Ja",N($AC10)&gt;=25)),$Y10="Nein"),Regeln!$E$20,""))</f>
        <v/>
      </c>
      <c r="AY10" s="14" t="str">
        <f aca="false">IF($A10="","",IF(AND(ISNUMBER(SEARCH("westnetz",$D10)),OR($W10="Digital (RJ45 / EEBUS)",$W10="Digital + Relais"),$Z10="Nein"),Regeln!$E$21,""))</f>
        <v/>
      </c>
      <c r="AZ10" s="14" t="str">
        <f aca="false">IF($A10="","",IF(AND(ISNUMBER(SEARCH("westnetz",$D10)),N($AB10)&gt;30),Regeln!$E$22,""))</f>
        <v/>
      </c>
      <c r="BA10" s="14" t="str">
        <f aca="false">IF($A10="","",IF(AND($AA10="10 mm² flexibel",N($AB10)*1000/(SQRT(3)*400)&gt;32),Regeln!$E$23,""))</f>
        <v/>
      </c>
      <c r="BB10" s="14" t="str">
        <f aca="false">IF($A10="","",IF(AND(ISNUMBER(SEARCH("westnetz",$D10)),$I10="Ja",N($AC10)&gt;=25),Regeln!$E$24,""))</f>
        <v/>
      </c>
      <c r="BC10" s="14" t="str">
        <f aca="false">IF($A10="","",IF(AND(ISNUMBER(SEARCH("westnetz",$D10)),$I10="Ja",OR($AH10="Ja",N($AC10)&gt;7)),Regeln!$E$25,""))</f>
        <v/>
      </c>
      <c r="BD10" s="14" t="str">
        <f aca="false">IF($A10="","",IF(AND(ISNUMBER(SEARCH("westnetz",$D10)),$AH10="Ja"),Regeln!$E$26,""))</f>
        <v/>
      </c>
      <c r="BE10" s="14" t="str">
        <f aca="false">IF($A10="","",IF(AND(ISNUMBER(SEARCH("westnetz",$D10)),OR($W10="Relais (potentialfrei)",$W10="Digital + Relais"),$M10="3-Punkt",$AD10="Nein"),Regeln!$E$27,""))</f>
        <v/>
      </c>
      <c r="BF10" s="14" t="str">
        <f aca="false">IF($A10="","",IF(AND(ISNUMBER(SEARCH("westnetz",$D10)),$I10="Ja"),Regeln!$E$28,""))</f>
        <v/>
      </c>
      <c r="BG10" s="14" t="str">
        <f aca="false">IF($A10="","",IF(AND(ISNUMBER(SEARCH("westnetz",$D10)),$H10="Ja"),Regeln!$E$29,""))</f>
        <v/>
      </c>
      <c r="BH10" s="14" t="str">
        <f aca="false">IF($A10="","",IF(AND(ISNUMBER(SEARCH("westnetz",$D10)),OR($W10="Relais (potentialfrei)",$W10="Digital + Relais")),Regeln!$E$30,""))</f>
        <v/>
      </c>
      <c r="BI10" s="15" t="str">
        <f aca="false">IF($A10="","",IF($AG10=0,"Kein Vorhaben",CHOOSE(MAX(AI10:BH10)+1,"Weiterverwendbar","Nachrüsten","Austausch")))</f>
        <v/>
      </c>
      <c r="BJ10" s="16" t="str">
        <f aca="false">IF($A10="","",_xlfn.TEXTJOIN(", ",TRUE(),IF(AI10&lt;&gt;"",AI$3,""),IF(AJ10&lt;&gt;"",AJ$3,""),IF(AK10&lt;&gt;"",AK$3,""),IF(AL10&lt;&gt;"",AL$3,""),IF(AM10&lt;&gt;"",AM$3,""),IF(AN10&lt;&gt;"",AN$3,""),IF(AO10&lt;&gt;"",AO$3,""),IF(AP10&lt;&gt;"",AP$3,""),IF(AQ10&lt;&gt;"",AQ$3,""),IF(AR10&lt;&gt;"",AR$3,""),IF(AS10&lt;&gt;"",AS$3,""),IF(AT10&lt;&gt;"",AT$3,""),IF(AU10&lt;&gt;"",AU$3,""),IF(AV10&lt;&gt;"",AV$3,""),IF(AW10&lt;&gt;"",AW$3,""),IF(AX10&lt;&gt;"",AX$3,""),IF(AY10&lt;&gt;"",AY$3,""),IF(AZ10&lt;&gt;"",AZ$3,""),IF(BA10&lt;&gt;"",BA$3,""),IF(BB10&lt;&gt;"",BB$3,""),IF(BC10&lt;&gt;"",BC$3,""),IF(BD10&lt;&gt;"",BD$3,""),IF(BE10&lt;&gt;"",BE$3,""),IF(BF10&lt;&gt;"",BF$3,""),IF(BG10&lt;&gt;"",BG$3,""),IF(BH10&lt;&gt;"",BH$3,"")))</f>
        <v/>
      </c>
      <c r="BK10" s="15" t="str">
        <f aca="false">IF(OR($A10="",$AE10=""),"",IF(BI10=$AE10,"Ja","Nein"))</f>
        <v/>
      </c>
      <c r="BL10" s="16" t="str">
        <f aca="false">IF($A10="","",IF(NOT(ISNUMBER(SEARCH("westnetz",$D10))),"–",IF($I10="Ja",IF($K10="Modul 2","MK 8 (Kaskade: Z1 SteuVE, Z2 Haushalt)","MK 2 (Überschuss)"),IF($K10="Modul 2","MK 0 + eigener Zählpunkt SteuVE","MK 0"))))</f>
        <v/>
      </c>
    </row>
    <row r="11" customFormat="false" ht="1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9"/>
      <c r="AG11" s="14" t="str">
        <f aca="false">IF($A11="","",COUNTIF($E11:$I11,"Ja"))</f>
        <v/>
      </c>
      <c r="AH11" s="14" t="str">
        <f aca="false">IF($A11="","",IF(AND(COUNTIF($E11:$H11,"Ja")&gt;0,N($J11)&gt;=4.2),"Ja","Nein"))</f>
        <v/>
      </c>
      <c r="AI11" s="14" t="str">
        <f aca="false">IF($A11="","",IF(AND(OR($L11="DIN 43853 Zählertafel ohne Schutzklasse II",$L11="DIN 43853 Norm-Zählertafel (Schutzklasse II)",$L11="DIN 43870 Norm-Zählertafel mit Vorsicherung"),$AG11&gt;0),Regeln!$E$5,""))</f>
        <v/>
      </c>
      <c r="AJ11" s="14" t="str">
        <f aca="false">IF($A11="","",IF(AND(OR($L11="DIN 43870 Zählerschrank, Trennvorrichtung im AAR",$L11="DIN 43870 Zählerschrank, NH-Sicherung im NAR"),OR($AA11="unter 10 mm² oder starr",$AA11="Unbekannt",$AA11=""),$AG11&gt;0),Regeln!$E$6,""))</f>
        <v/>
      </c>
      <c r="AK11" s="14" t="str">
        <f aca="false">IF($A11="","",IF(AND($V11="Nein",$AG11&gt;0),Regeln!$E$7,""))</f>
        <v/>
      </c>
      <c r="AL11" s="14" t="str">
        <f aca="false">IF($A11="","",IF(AND(OR($AH11="Ja",$I11="Ja"),$O11="Nein"),Regeln!$E$8,""))</f>
        <v/>
      </c>
      <c r="AM11" s="14" t="str">
        <f aca="false">IF($A11="","",IF(AND($K11="Modul 2",N($N11)&lt;1),Regeln!$E$9,""))</f>
        <v/>
      </c>
      <c r="AN11" s="14" t="str">
        <f aca="false">IF($A11="","",IF(AND($P11="Nein",$AG11&gt;0,OR(ISNUMBER(SEARCH("westnetz",$D11)),$M11="3-Punkt")),Regeln!$E$10,""))</f>
        <v/>
      </c>
      <c r="AO11" s="14" t="str">
        <f aca="false">IF($A11="","",IF(AND($Q11="Nein",$AG11&gt;0),Regeln!$E$11,""))</f>
        <v/>
      </c>
      <c r="AP11" s="14" t="str">
        <f aca="false">IF($A11="","",IF(AND($R11="1-phasig",OR(N($J11)&gt;4.6,$I11="Ja")),Regeln!$E$12,""))</f>
        <v/>
      </c>
      <c r="AQ11" s="14" t="str">
        <f aca="false">IF($A11="","",IF(OR($U11="Nein",$U11="Unbekannt"),Regeln!$E$13,""))</f>
        <v/>
      </c>
      <c r="AR11" s="14" t="str">
        <f aca="false">IF($A11="","",IF(OR($S11="TN-C",$S11="Unbekannt"),Regeln!$E$14,""))</f>
        <v/>
      </c>
      <c r="AS11" s="14" t="str">
        <f aca="false">IF($A11="","",IF(AND(N($T11)&gt;0,N($T11)&lt;50,$AG11&gt;=2),Regeln!$E$15,""))</f>
        <v/>
      </c>
      <c r="AT11" s="14" t="str">
        <f aca="false">IF($A11="","",IF(AND($E11="Ja",N($J11)&gt;12),Regeln!$E$16,""))</f>
        <v/>
      </c>
      <c r="AU11" s="14" t="str">
        <f aca="false">IF($A11="","",IF($L11="Unbekannt",Regeln!$E$17,""))</f>
        <v/>
      </c>
      <c r="AV11" s="14" t="str">
        <f aca="false">IF($A11="","",IF(AND(OR($L11="DIN 43870 Zählerschrank, Trennvorrichtung im AAR",$L11="DIN 43870 Zählerschrank, NH-Sicherung im NAR"),$AG11&gt;0),Regeln!$E$18,""))</f>
        <v/>
      </c>
      <c r="AW11" s="14" t="str">
        <f aca="false">IF($A11="","",IF(AND(ISNUMBER(SEARCH("westnetz",$D11)),OR($AH11="Ja",$I11="Ja"),$X11="Nein"),Regeln!$E$19,""))</f>
        <v/>
      </c>
      <c r="AX11" s="14" t="str">
        <f aca="false">IF($A11="","",IF(AND(ISNUMBER(SEARCH("westnetz",$D11)),OR($W11="Relais (potentialfrei)",$W11="Digital + Relais",AND($I11="Ja",N($AC11)&gt;=25)),$Y11="Nein"),Regeln!$E$20,""))</f>
        <v/>
      </c>
      <c r="AY11" s="14" t="str">
        <f aca="false">IF($A11="","",IF(AND(ISNUMBER(SEARCH("westnetz",$D11)),OR($W11="Digital (RJ45 / EEBUS)",$W11="Digital + Relais"),$Z11="Nein"),Regeln!$E$21,""))</f>
        <v/>
      </c>
      <c r="AZ11" s="14" t="str">
        <f aca="false">IF($A11="","",IF(AND(ISNUMBER(SEARCH("westnetz",$D11)),N($AB11)&gt;30),Regeln!$E$22,""))</f>
        <v/>
      </c>
      <c r="BA11" s="14" t="str">
        <f aca="false">IF($A11="","",IF(AND($AA11="10 mm² flexibel",N($AB11)*1000/(SQRT(3)*400)&gt;32),Regeln!$E$23,""))</f>
        <v/>
      </c>
      <c r="BB11" s="14" t="str">
        <f aca="false">IF($A11="","",IF(AND(ISNUMBER(SEARCH("westnetz",$D11)),$I11="Ja",N($AC11)&gt;=25),Regeln!$E$24,""))</f>
        <v/>
      </c>
      <c r="BC11" s="14" t="str">
        <f aca="false">IF($A11="","",IF(AND(ISNUMBER(SEARCH("westnetz",$D11)),$I11="Ja",OR($AH11="Ja",N($AC11)&gt;7)),Regeln!$E$25,""))</f>
        <v/>
      </c>
      <c r="BD11" s="14" t="str">
        <f aca="false">IF($A11="","",IF(AND(ISNUMBER(SEARCH("westnetz",$D11)),$AH11="Ja"),Regeln!$E$26,""))</f>
        <v/>
      </c>
      <c r="BE11" s="14" t="str">
        <f aca="false">IF($A11="","",IF(AND(ISNUMBER(SEARCH("westnetz",$D11)),OR($W11="Relais (potentialfrei)",$W11="Digital + Relais"),$M11="3-Punkt",$AD11="Nein"),Regeln!$E$27,""))</f>
        <v/>
      </c>
      <c r="BF11" s="14" t="str">
        <f aca="false">IF($A11="","",IF(AND(ISNUMBER(SEARCH("westnetz",$D11)),$I11="Ja"),Regeln!$E$28,""))</f>
        <v/>
      </c>
      <c r="BG11" s="14" t="str">
        <f aca="false">IF($A11="","",IF(AND(ISNUMBER(SEARCH("westnetz",$D11)),$H11="Ja"),Regeln!$E$29,""))</f>
        <v/>
      </c>
      <c r="BH11" s="14" t="str">
        <f aca="false">IF($A11="","",IF(AND(ISNUMBER(SEARCH("westnetz",$D11)),OR($W11="Relais (potentialfrei)",$W11="Digital + Relais")),Regeln!$E$30,""))</f>
        <v/>
      </c>
      <c r="BI11" s="15" t="str">
        <f aca="false">IF($A11="","",IF($AG11=0,"Kein Vorhaben",CHOOSE(MAX(AI11:BH11)+1,"Weiterverwendbar","Nachrüsten","Austausch")))</f>
        <v/>
      </c>
      <c r="BJ11" s="16" t="str">
        <f aca="false">IF($A11="","",_xlfn.TEXTJOIN(", ",TRUE(),IF(AI11&lt;&gt;"",AI$3,""),IF(AJ11&lt;&gt;"",AJ$3,""),IF(AK11&lt;&gt;"",AK$3,""),IF(AL11&lt;&gt;"",AL$3,""),IF(AM11&lt;&gt;"",AM$3,""),IF(AN11&lt;&gt;"",AN$3,""),IF(AO11&lt;&gt;"",AO$3,""),IF(AP11&lt;&gt;"",AP$3,""),IF(AQ11&lt;&gt;"",AQ$3,""),IF(AR11&lt;&gt;"",AR$3,""),IF(AS11&lt;&gt;"",AS$3,""),IF(AT11&lt;&gt;"",AT$3,""),IF(AU11&lt;&gt;"",AU$3,""),IF(AV11&lt;&gt;"",AV$3,""),IF(AW11&lt;&gt;"",AW$3,""),IF(AX11&lt;&gt;"",AX$3,""),IF(AY11&lt;&gt;"",AY$3,""),IF(AZ11&lt;&gt;"",AZ$3,""),IF(BA11&lt;&gt;"",BA$3,""),IF(BB11&lt;&gt;"",BB$3,""),IF(BC11&lt;&gt;"",BC$3,""),IF(BD11&lt;&gt;"",BD$3,""),IF(BE11&lt;&gt;"",BE$3,""),IF(BF11&lt;&gt;"",BF$3,""),IF(BG11&lt;&gt;"",BG$3,""),IF(BH11&lt;&gt;"",BH$3,"")))</f>
        <v/>
      </c>
      <c r="BK11" s="15" t="str">
        <f aca="false">IF(OR($A11="",$AE11=""),"",IF(BI11=$AE11,"Ja","Nein"))</f>
        <v/>
      </c>
      <c r="BL11" s="16" t="str">
        <f aca="false">IF($A11="","",IF(NOT(ISNUMBER(SEARCH("westnetz",$D11))),"–",IF($I11="Ja",IF($K11="Modul 2","MK 8 (Kaskade: Z1 SteuVE, Z2 Haushalt)","MK 2 (Überschuss)"),IF($K11="Modul 2","MK 0 + eigener Zählpunkt SteuVE","MK 0"))))</f>
        <v/>
      </c>
    </row>
    <row r="12" customFormat="false" ht="1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9"/>
      <c r="AG12" s="14" t="str">
        <f aca="false">IF($A12="","",COUNTIF($E12:$I12,"Ja"))</f>
        <v/>
      </c>
      <c r="AH12" s="14" t="str">
        <f aca="false">IF($A12="","",IF(AND(COUNTIF($E12:$H12,"Ja")&gt;0,N($J12)&gt;=4.2),"Ja","Nein"))</f>
        <v/>
      </c>
      <c r="AI12" s="14" t="str">
        <f aca="false">IF($A12="","",IF(AND(OR($L12="DIN 43853 Zählertafel ohne Schutzklasse II",$L12="DIN 43853 Norm-Zählertafel (Schutzklasse II)",$L12="DIN 43870 Norm-Zählertafel mit Vorsicherung"),$AG12&gt;0),Regeln!$E$5,""))</f>
        <v/>
      </c>
      <c r="AJ12" s="14" t="str">
        <f aca="false">IF($A12="","",IF(AND(OR($L12="DIN 43870 Zählerschrank, Trennvorrichtung im AAR",$L12="DIN 43870 Zählerschrank, NH-Sicherung im NAR"),OR($AA12="unter 10 mm² oder starr",$AA12="Unbekannt",$AA12=""),$AG12&gt;0),Regeln!$E$6,""))</f>
        <v/>
      </c>
      <c r="AK12" s="14" t="str">
        <f aca="false">IF($A12="","",IF(AND($V12="Nein",$AG12&gt;0),Regeln!$E$7,""))</f>
        <v/>
      </c>
      <c r="AL12" s="14" t="str">
        <f aca="false">IF($A12="","",IF(AND(OR($AH12="Ja",$I12="Ja"),$O12="Nein"),Regeln!$E$8,""))</f>
        <v/>
      </c>
      <c r="AM12" s="14" t="str">
        <f aca="false">IF($A12="","",IF(AND($K12="Modul 2",N($N12)&lt;1),Regeln!$E$9,""))</f>
        <v/>
      </c>
      <c r="AN12" s="14" t="str">
        <f aca="false">IF($A12="","",IF(AND($P12="Nein",$AG12&gt;0,OR(ISNUMBER(SEARCH("westnetz",$D12)),$M12="3-Punkt")),Regeln!$E$10,""))</f>
        <v/>
      </c>
      <c r="AO12" s="14" t="str">
        <f aca="false">IF($A12="","",IF(AND($Q12="Nein",$AG12&gt;0),Regeln!$E$11,""))</f>
        <v/>
      </c>
      <c r="AP12" s="14" t="str">
        <f aca="false">IF($A12="","",IF(AND($R12="1-phasig",OR(N($J12)&gt;4.6,$I12="Ja")),Regeln!$E$12,""))</f>
        <v/>
      </c>
      <c r="AQ12" s="14" t="str">
        <f aca="false">IF($A12="","",IF(OR($U12="Nein",$U12="Unbekannt"),Regeln!$E$13,""))</f>
        <v/>
      </c>
      <c r="AR12" s="14" t="str">
        <f aca="false">IF($A12="","",IF(OR($S12="TN-C",$S12="Unbekannt"),Regeln!$E$14,""))</f>
        <v/>
      </c>
      <c r="AS12" s="14" t="str">
        <f aca="false">IF($A12="","",IF(AND(N($T12)&gt;0,N($T12)&lt;50,$AG12&gt;=2),Regeln!$E$15,""))</f>
        <v/>
      </c>
      <c r="AT12" s="14" t="str">
        <f aca="false">IF($A12="","",IF(AND($E12="Ja",N($J12)&gt;12),Regeln!$E$16,""))</f>
        <v/>
      </c>
      <c r="AU12" s="14" t="str">
        <f aca="false">IF($A12="","",IF($L12="Unbekannt",Regeln!$E$17,""))</f>
        <v/>
      </c>
      <c r="AV12" s="14" t="str">
        <f aca="false">IF($A12="","",IF(AND(OR($L12="DIN 43870 Zählerschrank, Trennvorrichtung im AAR",$L12="DIN 43870 Zählerschrank, NH-Sicherung im NAR"),$AG12&gt;0),Regeln!$E$18,""))</f>
        <v/>
      </c>
      <c r="AW12" s="14" t="str">
        <f aca="false">IF($A12="","",IF(AND(ISNUMBER(SEARCH("westnetz",$D12)),OR($AH12="Ja",$I12="Ja"),$X12="Nein"),Regeln!$E$19,""))</f>
        <v/>
      </c>
      <c r="AX12" s="14" t="str">
        <f aca="false">IF($A12="","",IF(AND(ISNUMBER(SEARCH("westnetz",$D12)),OR($W12="Relais (potentialfrei)",$W12="Digital + Relais",AND($I12="Ja",N($AC12)&gt;=25)),$Y12="Nein"),Regeln!$E$20,""))</f>
        <v/>
      </c>
      <c r="AY12" s="14" t="str">
        <f aca="false">IF($A12="","",IF(AND(ISNUMBER(SEARCH("westnetz",$D12)),OR($W12="Digital (RJ45 / EEBUS)",$W12="Digital + Relais"),$Z12="Nein"),Regeln!$E$21,""))</f>
        <v/>
      </c>
      <c r="AZ12" s="14" t="str">
        <f aca="false">IF($A12="","",IF(AND(ISNUMBER(SEARCH("westnetz",$D12)),N($AB12)&gt;30),Regeln!$E$22,""))</f>
        <v/>
      </c>
      <c r="BA12" s="14" t="str">
        <f aca="false">IF($A12="","",IF(AND($AA12="10 mm² flexibel",N($AB12)*1000/(SQRT(3)*400)&gt;32),Regeln!$E$23,""))</f>
        <v/>
      </c>
      <c r="BB12" s="14" t="str">
        <f aca="false">IF($A12="","",IF(AND(ISNUMBER(SEARCH("westnetz",$D12)),$I12="Ja",N($AC12)&gt;=25),Regeln!$E$24,""))</f>
        <v/>
      </c>
      <c r="BC12" s="14" t="str">
        <f aca="false">IF($A12="","",IF(AND(ISNUMBER(SEARCH("westnetz",$D12)),$I12="Ja",OR($AH12="Ja",N($AC12)&gt;7)),Regeln!$E$25,""))</f>
        <v/>
      </c>
      <c r="BD12" s="14" t="str">
        <f aca="false">IF($A12="","",IF(AND(ISNUMBER(SEARCH("westnetz",$D12)),$AH12="Ja"),Regeln!$E$26,""))</f>
        <v/>
      </c>
      <c r="BE12" s="14" t="str">
        <f aca="false">IF($A12="","",IF(AND(ISNUMBER(SEARCH("westnetz",$D12)),OR($W12="Relais (potentialfrei)",$W12="Digital + Relais"),$M12="3-Punkt",$AD12="Nein"),Regeln!$E$27,""))</f>
        <v/>
      </c>
      <c r="BF12" s="14" t="str">
        <f aca="false">IF($A12="","",IF(AND(ISNUMBER(SEARCH("westnetz",$D12)),$I12="Ja"),Regeln!$E$28,""))</f>
        <v/>
      </c>
      <c r="BG12" s="14" t="str">
        <f aca="false">IF($A12="","",IF(AND(ISNUMBER(SEARCH("westnetz",$D12)),$H12="Ja"),Regeln!$E$29,""))</f>
        <v/>
      </c>
      <c r="BH12" s="14" t="str">
        <f aca="false">IF($A12="","",IF(AND(ISNUMBER(SEARCH("westnetz",$D12)),OR($W12="Relais (potentialfrei)",$W12="Digital + Relais")),Regeln!$E$30,""))</f>
        <v/>
      </c>
      <c r="BI12" s="15" t="str">
        <f aca="false">IF($A12="","",IF($AG12=0,"Kein Vorhaben",CHOOSE(MAX(AI12:BH12)+1,"Weiterverwendbar","Nachrüsten","Austausch")))</f>
        <v/>
      </c>
      <c r="BJ12" s="16" t="str">
        <f aca="false">IF($A12="","",_xlfn.TEXTJOIN(", ",TRUE(),IF(AI12&lt;&gt;"",AI$3,""),IF(AJ12&lt;&gt;"",AJ$3,""),IF(AK12&lt;&gt;"",AK$3,""),IF(AL12&lt;&gt;"",AL$3,""),IF(AM12&lt;&gt;"",AM$3,""),IF(AN12&lt;&gt;"",AN$3,""),IF(AO12&lt;&gt;"",AO$3,""),IF(AP12&lt;&gt;"",AP$3,""),IF(AQ12&lt;&gt;"",AQ$3,""),IF(AR12&lt;&gt;"",AR$3,""),IF(AS12&lt;&gt;"",AS$3,""),IF(AT12&lt;&gt;"",AT$3,""),IF(AU12&lt;&gt;"",AU$3,""),IF(AV12&lt;&gt;"",AV$3,""),IF(AW12&lt;&gt;"",AW$3,""),IF(AX12&lt;&gt;"",AX$3,""),IF(AY12&lt;&gt;"",AY$3,""),IF(AZ12&lt;&gt;"",AZ$3,""),IF(BA12&lt;&gt;"",BA$3,""),IF(BB12&lt;&gt;"",BB$3,""),IF(BC12&lt;&gt;"",BC$3,""),IF(BD12&lt;&gt;"",BD$3,""),IF(BE12&lt;&gt;"",BE$3,""),IF(BF12&lt;&gt;"",BF$3,""),IF(BG12&lt;&gt;"",BG$3,""),IF(BH12&lt;&gt;"",BH$3,"")))</f>
        <v/>
      </c>
      <c r="BK12" s="15" t="str">
        <f aca="false">IF(OR($A12="",$AE12=""),"",IF(BI12=$AE12,"Ja","Nein"))</f>
        <v/>
      </c>
      <c r="BL12" s="16" t="str">
        <f aca="false">IF($A12="","",IF(NOT(ISNUMBER(SEARCH("westnetz",$D12))),"–",IF($I12="Ja",IF($K12="Modul 2","MK 8 (Kaskade: Z1 SteuVE, Z2 Haushalt)","MK 2 (Überschuss)"),IF($K12="Modul 2","MK 0 + eigener Zählpunkt SteuVE","MK 0"))))</f>
        <v/>
      </c>
    </row>
    <row r="13" customFormat="false" ht="1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9"/>
      <c r="AG13" s="14" t="str">
        <f aca="false">IF($A13="","",COUNTIF($E13:$I13,"Ja"))</f>
        <v/>
      </c>
      <c r="AH13" s="14" t="str">
        <f aca="false">IF($A13="","",IF(AND(COUNTIF($E13:$H13,"Ja")&gt;0,N($J13)&gt;=4.2),"Ja","Nein"))</f>
        <v/>
      </c>
      <c r="AI13" s="14" t="str">
        <f aca="false">IF($A13="","",IF(AND(OR($L13="DIN 43853 Zählertafel ohne Schutzklasse II",$L13="DIN 43853 Norm-Zählertafel (Schutzklasse II)",$L13="DIN 43870 Norm-Zählertafel mit Vorsicherung"),$AG13&gt;0),Regeln!$E$5,""))</f>
        <v/>
      </c>
      <c r="AJ13" s="14" t="str">
        <f aca="false">IF($A13="","",IF(AND(OR($L13="DIN 43870 Zählerschrank, Trennvorrichtung im AAR",$L13="DIN 43870 Zählerschrank, NH-Sicherung im NAR"),OR($AA13="unter 10 mm² oder starr",$AA13="Unbekannt",$AA13=""),$AG13&gt;0),Regeln!$E$6,""))</f>
        <v/>
      </c>
      <c r="AK13" s="14" t="str">
        <f aca="false">IF($A13="","",IF(AND($V13="Nein",$AG13&gt;0),Regeln!$E$7,""))</f>
        <v/>
      </c>
      <c r="AL13" s="14" t="str">
        <f aca="false">IF($A13="","",IF(AND(OR($AH13="Ja",$I13="Ja"),$O13="Nein"),Regeln!$E$8,""))</f>
        <v/>
      </c>
      <c r="AM13" s="14" t="str">
        <f aca="false">IF($A13="","",IF(AND($K13="Modul 2",N($N13)&lt;1),Regeln!$E$9,""))</f>
        <v/>
      </c>
      <c r="AN13" s="14" t="str">
        <f aca="false">IF($A13="","",IF(AND($P13="Nein",$AG13&gt;0,OR(ISNUMBER(SEARCH("westnetz",$D13)),$M13="3-Punkt")),Regeln!$E$10,""))</f>
        <v/>
      </c>
      <c r="AO13" s="14" t="str">
        <f aca="false">IF($A13="","",IF(AND($Q13="Nein",$AG13&gt;0),Regeln!$E$11,""))</f>
        <v/>
      </c>
      <c r="AP13" s="14" t="str">
        <f aca="false">IF($A13="","",IF(AND($R13="1-phasig",OR(N($J13)&gt;4.6,$I13="Ja")),Regeln!$E$12,""))</f>
        <v/>
      </c>
      <c r="AQ13" s="14" t="str">
        <f aca="false">IF($A13="","",IF(OR($U13="Nein",$U13="Unbekannt"),Regeln!$E$13,""))</f>
        <v/>
      </c>
      <c r="AR13" s="14" t="str">
        <f aca="false">IF($A13="","",IF(OR($S13="TN-C",$S13="Unbekannt"),Regeln!$E$14,""))</f>
        <v/>
      </c>
      <c r="AS13" s="14" t="str">
        <f aca="false">IF($A13="","",IF(AND(N($T13)&gt;0,N($T13)&lt;50,$AG13&gt;=2),Regeln!$E$15,""))</f>
        <v/>
      </c>
      <c r="AT13" s="14" t="str">
        <f aca="false">IF($A13="","",IF(AND($E13="Ja",N($J13)&gt;12),Regeln!$E$16,""))</f>
        <v/>
      </c>
      <c r="AU13" s="14" t="str">
        <f aca="false">IF($A13="","",IF($L13="Unbekannt",Regeln!$E$17,""))</f>
        <v/>
      </c>
      <c r="AV13" s="14" t="str">
        <f aca="false">IF($A13="","",IF(AND(OR($L13="DIN 43870 Zählerschrank, Trennvorrichtung im AAR",$L13="DIN 43870 Zählerschrank, NH-Sicherung im NAR"),$AG13&gt;0),Regeln!$E$18,""))</f>
        <v/>
      </c>
      <c r="AW13" s="14" t="str">
        <f aca="false">IF($A13="","",IF(AND(ISNUMBER(SEARCH("westnetz",$D13)),OR($AH13="Ja",$I13="Ja"),$X13="Nein"),Regeln!$E$19,""))</f>
        <v/>
      </c>
      <c r="AX13" s="14" t="str">
        <f aca="false">IF($A13="","",IF(AND(ISNUMBER(SEARCH("westnetz",$D13)),OR($W13="Relais (potentialfrei)",$W13="Digital + Relais",AND($I13="Ja",N($AC13)&gt;=25)),$Y13="Nein"),Regeln!$E$20,""))</f>
        <v/>
      </c>
      <c r="AY13" s="14" t="str">
        <f aca="false">IF($A13="","",IF(AND(ISNUMBER(SEARCH("westnetz",$D13)),OR($W13="Digital (RJ45 / EEBUS)",$W13="Digital + Relais"),$Z13="Nein"),Regeln!$E$21,""))</f>
        <v/>
      </c>
      <c r="AZ13" s="14" t="str">
        <f aca="false">IF($A13="","",IF(AND(ISNUMBER(SEARCH("westnetz",$D13)),N($AB13)&gt;30),Regeln!$E$22,""))</f>
        <v/>
      </c>
      <c r="BA13" s="14" t="str">
        <f aca="false">IF($A13="","",IF(AND($AA13="10 mm² flexibel",N($AB13)*1000/(SQRT(3)*400)&gt;32),Regeln!$E$23,""))</f>
        <v/>
      </c>
      <c r="BB13" s="14" t="str">
        <f aca="false">IF($A13="","",IF(AND(ISNUMBER(SEARCH("westnetz",$D13)),$I13="Ja",N($AC13)&gt;=25),Regeln!$E$24,""))</f>
        <v/>
      </c>
      <c r="BC13" s="14" t="str">
        <f aca="false">IF($A13="","",IF(AND(ISNUMBER(SEARCH("westnetz",$D13)),$I13="Ja",OR($AH13="Ja",N($AC13)&gt;7)),Regeln!$E$25,""))</f>
        <v/>
      </c>
      <c r="BD13" s="14" t="str">
        <f aca="false">IF($A13="","",IF(AND(ISNUMBER(SEARCH("westnetz",$D13)),$AH13="Ja"),Regeln!$E$26,""))</f>
        <v/>
      </c>
      <c r="BE13" s="14" t="str">
        <f aca="false">IF($A13="","",IF(AND(ISNUMBER(SEARCH("westnetz",$D13)),OR($W13="Relais (potentialfrei)",$W13="Digital + Relais"),$M13="3-Punkt",$AD13="Nein"),Regeln!$E$27,""))</f>
        <v/>
      </c>
      <c r="BF13" s="14" t="str">
        <f aca="false">IF($A13="","",IF(AND(ISNUMBER(SEARCH("westnetz",$D13)),$I13="Ja"),Regeln!$E$28,""))</f>
        <v/>
      </c>
      <c r="BG13" s="14" t="str">
        <f aca="false">IF($A13="","",IF(AND(ISNUMBER(SEARCH("westnetz",$D13)),$H13="Ja"),Regeln!$E$29,""))</f>
        <v/>
      </c>
      <c r="BH13" s="14" t="str">
        <f aca="false">IF($A13="","",IF(AND(ISNUMBER(SEARCH("westnetz",$D13)),OR($W13="Relais (potentialfrei)",$W13="Digital + Relais")),Regeln!$E$30,""))</f>
        <v/>
      </c>
      <c r="BI13" s="15" t="str">
        <f aca="false">IF($A13="","",IF($AG13=0,"Kein Vorhaben",CHOOSE(MAX(AI13:BH13)+1,"Weiterverwendbar","Nachrüsten","Austausch")))</f>
        <v/>
      </c>
      <c r="BJ13" s="16" t="str">
        <f aca="false">IF($A13="","",_xlfn.TEXTJOIN(", ",TRUE(),IF(AI13&lt;&gt;"",AI$3,""),IF(AJ13&lt;&gt;"",AJ$3,""),IF(AK13&lt;&gt;"",AK$3,""),IF(AL13&lt;&gt;"",AL$3,""),IF(AM13&lt;&gt;"",AM$3,""),IF(AN13&lt;&gt;"",AN$3,""),IF(AO13&lt;&gt;"",AO$3,""),IF(AP13&lt;&gt;"",AP$3,""),IF(AQ13&lt;&gt;"",AQ$3,""),IF(AR13&lt;&gt;"",AR$3,""),IF(AS13&lt;&gt;"",AS$3,""),IF(AT13&lt;&gt;"",AT$3,""),IF(AU13&lt;&gt;"",AU$3,""),IF(AV13&lt;&gt;"",AV$3,""),IF(AW13&lt;&gt;"",AW$3,""),IF(AX13&lt;&gt;"",AX$3,""),IF(AY13&lt;&gt;"",AY$3,""),IF(AZ13&lt;&gt;"",AZ$3,""),IF(BA13&lt;&gt;"",BA$3,""),IF(BB13&lt;&gt;"",BB$3,""),IF(BC13&lt;&gt;"",BC$3,""),IF(BD13&lt;&gt;"",BD$3,""),IF(BE13&lt;&gt;"",BE$3,""),IF(BF13&lt;&gt;"",BF$3,""),IF(BG13&lt;&gt;"",BG$3,""),IF(BH13&lt;&gt;"",BH$3,"")))</f>
        <v/>
      </c>
      <c r="BK13" s="15" t="str">
        <f aca="false">IF(OR($A13="",$AE13=""),"",IF(BI13=$AE13,"Ja","Nein"))</f>
        <v/>
      </c>
      <c r="BL13" s="16" t="str">
        <f aca="false">IF($A13="","",IF(NOT(ISNUMBER(SEARCH("westnetz",$D13))),"–",IF($I13="Ja",IF($K13="Modul 2","MK 8 (Kaskade: Z1 SteuVE, Z2 Haushalt)","MK 2 (Überschuss)"),IF($K13="Modul 2","MK 0 + eigener Zählpunkt SteuVE","MK 0"))))</f>
        <v/>
      </c>
    </row>
    <row r="14" customFormat="false" ht="1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9"/>
      <c r="AG14" s="14" t="str">
        <f aca="false">IF($A14="","",COUNTIF($E14:$I14,"Ja"))</f>
        <v/>
      </c>
      <c r="AH14" s="14" t="str">
        <f aca="false">IF($A14="","",IF(AND(COUNTIF($E14:$H14,"Ja")&gt;0,N($J14)&gt;=4.2),"Ja","Nein"))</f>
        <v/>
      </c>
      <c r="AI14" s="14" t="str">
        <f aca="false">IF($A14="","",IF(AND(OR($L14="DIN 43853 Zählertafel ohne Schutzklasse II",$L14="DIN 43853 Norm-Zählertafel (Schutzklasse II)",$L14="DIN 43870 Norm-Zählertafel mit Vorsicherung"),$AG14&gt;0),Regeln!$E$5,""))</f>
        <v/>
      </c>
      <c r="AJ14" s="14" t="str">
        <f aca="false">IF($A14="","",IF(AND(OR($L14="DIN 43870 Zählerschrank, Trennvorrichtung im AAR",$L14="DIN 43870 Zählerschrank, NH-Sicherung im NAR"),OR($AA14="unter 10 mm² oder starr",$AA14="Unbekannt",$AA14=""),$AG14&gt;0),Regeln!$E$6,""))</f>
        <v/>
      </c>
      <c r="AK14" s="14" t="str">
        <f aca="false">IF($A14="","",IF(AND($V14="Nein",$AG14&gt;0),Regeln!$E$7,""))</f>
        <v/>
      </c>
      <c r="AL14" s="14" t="str">
        <f aca="false">IF($A14="","",IF(AND(OR($AH14="Ja",$I14="Ja"),$O14="Nein"),Regeln!$E$8,""))</f>
        <v/>
      </c>
      <c r="AM14" s="14" t="str">
        <f aca="false">IF($A14="","",IF(AND($K14="Modul 2",N($N14)&lt;1),Regeln!$E$9,""))</f>
        <v/>
      </c>
      <c r="AN14" s="14" t="str">
        <f aca="false">IF($A14="","",IF(AND($P14="Nein",$AG14&gt;0,OR(ISNUMBER(SEARCH("westnetz",$D14)),$M14="3-Punkt")),Regeln!$E$10,""))</f>
        <v/>
      </c>
      <c r="AO14" s="14" t="str">
        <f aca="false">IF($A14="","",IF(AND($Q14="Nein",$AG14&gt;0),Regeln!$E$11,""))</f>
        <v/>
      </c>
      <c r="AP14" s="14" t="str">
        <f aca="false">IF($A14="","",IF(AND($R14="1-phasig",OR(N($J14)&gt;4.6,$I14="Ja")),Regeln!$E$12,""))</f>
        <v/>
      </c>
      <c r="AQ14" s="14" t="str">
        <f aca="false">IF($A14="","",IF(OR($U14="Nein",$U14="Unbekannt"),Regeln!$E$13,""))</f>
        <v/>
      </c>
      <c r="AR14" s="14" t="str">
        <f aca="false">IF($A14="","",IF(OR($S14="TN-C",$S14="Unbekannt"),Regeln!$E$14,""))</f>
        <v/>
      </c>
      <c r="AS14" s="14" t="str">
        <f aca="false">IF($A14="","",IF(AND(N($T14)&gt;0,N($T14)&lt;50,$AG14&gt;=2),Regeln!$E$15,""))</f>
        <v/>
      </c>
      <c r="AT14" s="14" t="str">
        <f aca="false">IF($A14="","",IF(AND($E14="Ja",N($J14)&gt;12),Regeln!$E$16,""))</f>
        <v/>
      </c>
      <c r="AU14" s="14" t="str">
        <f aca="false">IF($A14="","",IF($L14="Unbekannt",Regeln!$E$17,""))</f>
        <v/>
      </c>
      <c r="AV14" s="14" t="str">
        <f aca="false">IF($A14="","",IF(AND(OR($L14="DIN 43870 Zählerschrank, Trennvorrichtung im AAR",$L14="DIN 43870 Zählerschrank, NH-Sicherung im NAR"),$AG14&gt;0),Regeln!$E$18,""))</f>
        <v/>
      </c>
      <c r="AW14" s="14" t="str">
        <f aca="false">IF($A14="","",IF(AND(ISNUMBER(SEARCH("westnetz",$D14)),OR($AH14="Ja",$I14="Ja"),$X14="Nein"),Regeln!$E$19,""))</f>
        <v/>
      </c>
      <c r="AX14" s="14" t="str">
        <f aca="false">IF($A14="","",IF(AND(ISNUMBER(SEARCH("westnetz",$D14)),OR($W14="Relais (potentialfrei)",$W14="Digital + Relais",AND($I14="Ja",N($AC14)&gt;=25)),$Y14="Nein"),Regeln!$E$20,""))</f>
        <v/>
      </c>
      <c r="AY14" s="14" t="str">
        <f aca="false">IF($A14="","",IF(AND(ISNUMBER(SEARCH("westnetz",$D14)),OR($W14="Digital (RJ45 / EEBUS)",$W14="Digital + Relais"),$Z14="Nein"),Regeln!$E$21,""))</f>
        <v/>
      </c>
      <c r="AZ14" s="14" t="str">
        <f aca="false">IF($A14="","",IF(AND(ISNUMBER(SEARCH("westnetz",$D14)),N($AB14)&gt;30),Regeln!$E$22,""))</f>
        <v/>
      </c>
      <c r="BA14" s="14" t="str">
        <f aca="false">IF($A14="","",IF(AND($AA14="10 mm² flexibel",N($AB14)*1000/(SQRT(3)*400)&gt;32),Regeln!$E$23,""))</f>
        <v/>
      </c>
      <c r="BB14" s="14" t="str">
        <f aca="false">IF($A14="","",IF(AND(ISNUMBER(SEARCH("westnetz",$D14)),$I14="Ja",N($AC14)&gt;=25),Regeln!$E$24,""))</f>
        <v/>
      </c>
      <c r="BC14" s="14" t="str">
        <f aca="false">IF($A14="","",IF(AND(ISNUMBER(SEARCH("westnetz",$D14)),$I14="Ja",OR($AH14="Ja",N($AC14)&gt;7)),Regeln!$E$25,""))</f>
        <v/>
      </c>
      <c r="BD14" s="14" t="str">
        <f aca="false">IF($A14="","",IF(AND(ISNUMBER(SEARCH("westnetz",$D14)),$AH14="Ja"),Regeln!$E$26,""))</f>
        <v/>
      </c>
      <c r="BE14" s="14" t="str">
        <f aca="false">IF($A14="","",IF(AND(ISNUMBER(SEARCH("westnetz",$D14)),OR($W14="Relais (potentialfrei)",$W14="Digital + Relais"),$M14="3-Punkt",$AD14="Nein"),Regeln!$E$27,""))</f>
        <v/>
      </c>
      <c r="BF14" s="14" t="str">
        <f aca="false">IF($A14="","",IF(AND(ISNUMBER(SEARCH("westnetz",$D14)),$I14="Ja"),Regeln!$E$28,""))</f>
        <v/>
      </c>
      <c r="BG14" s="14" t="str">
        <f aca="false">IF($A14="","",IF(AND(ISNUMBER(SEARCH("westnetz",$D14)),$H14="Ja"),Regeln!$E$29,""))</f>
        <v/>
      </c>
      <c r="BH14" s="14" t="str">
        <f aca="false">IF($A14="","",IF(AND(ISNUMBER(SEARCH("westnetz",$D14)),OR($W14="Relais (potentialfrei)",$W14="Digital + Relais")),Regeln!$E$30,""))</f>
        <v/>
      </c>
      <c r="BI14" s="15" t="str">
        <f aca="false">IF($A14="","",IF($AG14=0,"Kein Vorhaben",CHOOSE(MAX(AI14:BH14)+1,"Weiterverwendbar","Nachrüsten","Austausch")))</f>
        <v/>
      </c>
      <c r="BJ14" s="16" t="str">
        <f aca="false">IF($A14="","",_xlfn.TEXTJOIN(", ",TRUE(),IF(AI14&lt;&gt;"",AI$3,""),IF(AJ14&lt;&gt;"",AJ$3,""),IF(AK14&lt;&gt;"",AK$3,""),IF(AL14&lt;&gt;"",AL$3,""),IF(AM14&lt;&gt;"",AM$3,""),IF(AN14&lt;&gt;"",AN$3,""),IF(AO14&lt;&gt;"",AO$3,""),IF(AP14&lt;&gt;"",AP$3,""),IF(AQ14&lt;&gt;"",AQ$3,""),IF(AR14&lt;&gt;"",AR$3,""),IF(AS14&lt;&gt;"",AS$3,""),IF(AT14&lt;&gt;"",AT$3,""),IF(AU14&lt;&gt;"",AU$3,""),IF(AV14&lt;&gt;"",AV$3,""),IF(AW14&lt;&gt;"",AW$3,""),IF(AX14&lt;&gt;"",AX$3,""),IF(AY14&lt;&gt;"",AY$3,""),IF(AZ14&lt;&gt;"",AZ$3,""),IF(BA14&lt;&gt;"",BA$3,""),IF(BB14&lt;&gt;"",BB$3,""),IF(BC14&lt;&gt;"",BC$3,""),IF(BD14&lt;&gt;"",BD$3,""),IF(BE14&lt;&gt;"",BE$3,""),IF(BF14&lt;&gt;"",BF$3,""),IF(BG14&lt;&gt;"",BG$3,""),IF(BH14&lt;&gt;"",BH$3,"")))</f>
        <v/>
      </c>
      <c r="BK14" s="15" t="str">
        <f aca="false">IF(OR($A14="",$AE14=""),"",IF(BI14=$AE14,"Ja","Nein"))</f>
        <v/>
      </c>
      <c r="BL14" s="16" t="str">
        <f aca="false">IF($A14="","",IF(NOT(ISNUMBER(SEARCH("westnetz",$D14))),"–",IF($I14="Ja",IF($K14="Modul 2","MK 8 (Kaskade: Z1 SteuVE, Z2 Haushalt)","MK 2 (Überschuss)"),IF($K14="Modul 2","MK 0 + eigener Zählpunkt SteuVE","MK 0"))))</f>
        <v/>
      </c>
    </row>
    <row r="15" customFormat="false" ht="1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9"/>
      <c r="AG15" s="14" t="str">
        <f aca="false">IF($A15="","",COUNTIF($E15:$I15,"Ja"))</f>
        <v/>
      </c>
      <c r="AH15" s="14" t="str">
        <f aca="false">IF($A15="","",IF(AND(COUNTIF($E15:$H15,"Ja")&gt;0,N($J15)&gt;=4.2),"Ja","Nein"))</f>
        <v/>
      </c>
      <c r="AI15" s="14" t="str">
        <f aca="false">IF($A15="","",IF(AND(OR($L15="DIN 43853 Zählertafel ohne Schutzklasse II",$L15="DIN 43853 Norm-Zählertafel (Schutzklasse II)",$L15="DIN 43870 Norm-Zählertafel mit Vorsicherung"),$AG15&gt;0),Regeln!$E$5,""))</f>
        <v/>
      </c>
      <c r="AJ15" s="14" t="str">
        <f aca="false">IF($A15="","",IF(AND(OR($L15="DIN 43870 Zählerschrank, Trennvorrichtung im AAR",$L15="DIN 43870 Zählerschrank, NH-Sicherung im NAR"),OR($AA15="unter 10 mm² oder starr",$AA15="Unbekannt",$AA15=""),$AG15&gt;0),Regeln!$E$6,""))</f>
        <v/>
      </c>
      <c r="AK15" s="14" t="str">
        <f aca="false">IF($A15="","",IF(AND($V15="Nein",$AG15&gt;0),Regeln!$E$7,""))</f>
        <v/>
      </c>
      <c r="AL15" s="14" t="str">
        <f aca="false">IF($A15="","",IF(AND(OR($AH15="Ja",$I15="Ja"),$O15="Nein"),Regeln!$E$8,""))</f>
        <v/>
      </c>
      <c r="AM15" s="14" t="str">
        <f aca="false">IF($A15="","",IF(AND($K15="Modul 2",N($N15)&lt;1),Regeln!$E$9,""))</f>
        <v/>
      </c>
      <c r="AN15" s="14" t="str">
        <f aca="false">IF($A15="","",IF(AND($P15="Nein",$AG15&gt;0,OR(ISNUMBER(SEARCH("westnetz",$D15)),$M15="3-Punkt")),Regeln!$E$10,""))</f>
        <v/>
      </c>
      <c r="AO15" s="14" t="str">
        <f aca="false">IF($A15="","",IF(AND($Q15="Nein",$AG15&gt;0),Regeln!$E$11,""))</f>
        <v/>
      </c>
      <c r="AP15" s="14" t="str">
        <f aca="false">IF($A15="","",IF(AND($R15="1-phasig",OR(N($J15)&gt;4.6,$I15="Ja")),Regeln!$E$12,""))</f>
        <v/>
      </c>
      <c r="AQ15" s="14" t="str">
        <f aca="false">IF($A15="","",IF(OR($U15="Nein",$U15="Unbekannt"),Regeln!$E$13,""))</f>
        <v/>
      </c>
      <c r="AR15" s="14" t="str">
        <f aca="false">IF($A15="","",IF(OR($S15="TN-C",$S15="Unbekannt"),Regeln!$E$14,""))</f>
        <v/>
      </c>
      <c r="AS15" s="14" t="str">
        <f aca="false">IF($A15="","",IF(AND(N($T15)&gt;0,N($T15)&lt;50,$AG15&gt;=2),Regeln!$E$15,""))</f>
        <v/>
      </c>
      <c r="AT15" s="14" t="str">
        <f aca="false">IF($A15="","",IF(AND($E15="Ja",N($J15)&gt;12),Regeln!$E$16,""))</f>
        <v/>
      </c>
      <c r="AU15" s="14" t="str">
        <f aca="false">IF($A15="","",IF($L15="Unbekannt",Regeln!$E$17,""))</f>
        <v/>
      </c>
      <c r="AV15" s="14" t="str">
        <f aca="false">IF($A15="","",IF(AND(OR($L15="DIN 43870 Zählerschrank, Trennvorrichtung im AAR",$L15="DIN 43870 Zählerschrank, NH-Sicherung im NAR"),$AG15&gt;0),Regeln!$E$18,""))</f>
        <v/>
      </c>
      <c r="AW15" s="14" t="str">
        <f aca="false">IF($A15="","",IF(AND(ISNUMBER(SEARCH("westnetz",$D15)),OR($AH15="Ja",$I15="Ja"),$X15="Nein"),Regeln!$E$19,""))</f>
        <v/>
      </c>
      <c r="AX15" s="14" t="str">
        <f aca="false">IF($A15="","",IF(AND(ISNUMBER(SEARCH("westnetz",$D15)),OR($W15="Relais (potentialfrei)",$W15="Digital + Relais",AND($I15="Ja",N($AC15)&gt;=25)),$Y15="Nein"),Regeln!$E$20,""))</f>
        <v/>
      </c>
      <c r="AY15" s="14" t="str">
        <f aca="false">IF($A15="","",IF(AND(ISNUMBER(SEARCH("westnetz",$D15)),OR($W15="Digital (RJ45 / EEBUS)",$W15="Digital + Relais"),$Z15="Nein"),Regeln!$E$21,""))</f>
        <v/>
      </c>
      <c r="AZ15" s="14" t="str">
        <f aca="false">IF($A15="","",IF(AND(ISNUMBER(SEARCH("westnetz",$D15)),N($AB15)&gt;30),Regeln!$E$22,""))</f>
        <v/>
      </c>
      <c r="BA15" s="14" t="str">
        <f aca="false">IF($A15="","",IF(AND($AA15="10 mm² flexibel",N($AB15)*1000/(SQRT(3)*400)&gt;32),Regeln!$E$23,""))</f>
        <v/>
      </c>
      <c r="BB15" s="14" t="str">
        <f aca="false">IF($A15="","",IF(AND(ISNUMBER(SEARCH("westnetz",$D15)),$I15="Ja",N($AC15)&gt;=25),Regeln!$E$24,""))</f>
        <v/>
      </c>
      <c r="BC15" s="14" t="str">
        <f aca="false">IF($A15="","",IF(AND(ISNUMBER(SEARCH("westnetz",$D15)),$I15="Ja",OR($AH15="Ja",N($AC15)&gt;7)),Regeln!$E$25,""))</f>
        <v/>
      </c>
      <c r="BD15" s="14" t="str">
        <f aca="false">IF($A15="","",IF(AND(ISNUMBER(SEARCH("westnetz",$D15)),$AH15="Ja"),Regeln!$E$26,""))</f>
        <v/>
      </c>
      <c r="BE15" s="14" t="str">
        <f aca="false">IF($A15="","",IF(AND(ISNUMBER(SEARCH("westnetz",$D15)),OR($W15="Relais (potentialfrei)",$W15="Digital + Relais"),$M15="3-Punkt",$AD15="Nein"),Regeln!$E$27,""))</f>
        <v/>
      </c>
      <c r="BF15" s="14" t="str">
        <f aca="false">IF($A15="","",IF(AND(ISNUMBER(SEARCH("westnetz",$D15)),$I15="Ja"),Regeln!$E$28,""))</f>
        <v/>
      </c>
      <c r="BG15" s="14" t="str">
        <f aca="false">IF($A15="","",IF(AND(ISNUMBER(SEARCH("westnetz",$D15)),$H15="Ja"),Regeln!$E$29,""))</f>
        <v/>
      </c>
      <c r="BH15" s="14" t="str">
        <f aca="false">IF($A15="","",IF(AND(ISNUMBER(SEARCH("westnetz",$D15)),OR($W15="Relais (potentialfrei)",$W15="Digital + Relais")),Regeln!$E$30,""))</f>
        <v/>
      </c>
      <c r="BI15" s="15" t="str">
        <f aca="false">IF($A15="","",IF($AG15=0,"Kein Vorhaben",CHOOSE(MAX(AI15:BH15)+1,"Weiterverwendbar","Nachrüsten","Austausch")))</f>
        <v/>
      </c>
      <c r="BJ15" s="16" t="str">
        <f aca="false">IF($A15="","",_xlfn.TEXTJOIN(", ",TRUE(),IF(AI15&lt;&gt;"",AI$3,""),IF(AJ15&lt;&gt;"",AJ$3,""),IF(AK15&lt;&gt;"",AK$3,""),IF(AL15&lt;&gt;"",AL$3,""),IF(AM15&lt;&gt;"",AM$3,""),IF(AN15&lt;&gt;"",AN$3,""),IF(AO15&lt;&gt;"",AO$3,""),IF(AP15&lt;&gt;"",AP$3,""),IF(AQ15&lt;&gt;"",AQ$3,""),IF(AR15&lt;&gt;"",AR$3,""),IF(AS15&lt;&gt;"",AS$3,""),IF(AT15&lt;&gt;"",AT$3,""),IF(AU15&lt;&gt;"",AU$3,""),IF(AV15&lt;&gt;"",AV$3,""),IF(AW15&lt;&gt;"",AW$3,""),IF(AX15&lt;&gt;"",AX$3,""),IF(AY15&lt;&gt;"",AY$3,""),IF(AZ15&lt;&gt;"",AZ$3,""),IF(BA15&lt;&gt;"",BA$3,""),IF(BB15&lt;&gt;"",BB$3,""),IF(BC15&lt;&gt;"",BC$3,""),IF(BD15&lt;&gt;"",BD$3,""),IF(BE15&lt;&gt;"",BE$3,""),IF(BF15&lt;&gt;"",BF$3,""),IF(BG15&lt;&gt;"",BG$3,""),IF(BH15&lt;&gt;"",BH$3,"")))</f>
        <v/>
      </c>
      <c r="BK15" s="15" t="str">
        <f aca="false">IF(OR($A15="",$AE15=""),"",IF(BI15=$AE15,"Ja","Nein"))</f>
        <v/>
      </c>
      <c r="BL15" s="16" t="str">
        <f aca="false">IF($A15="","",IF(NOT(ISNUMBER(SEARCH("westnetz",$D15))),"–",IF($I15="Ja",IF($K15="Modul 2","MK 8 (Kaskade: Z1 SteuVE, Z2 Haushalt)","MK 2 (Überschuss)"),IF($K15="Modul 2","MK 0 + eigener Zählpunkt SteuVE","MK 0"))))</f>
        <v/>
      </c>
    </row>
    <row r="16" customFormat="false" ht="1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9"/>
      <c r="AG16" s="14" t="str">
        <f aca="false">IF($A16="","",COUNTIF($E16:$I16,"Ja"))</f>
        <v/>
      </c>
      <c r="AH16" s="14" t="str">
        <f aca="false">IF($A16="","",IF(AND(COUNTIF($E16:$H16,"Ja")&gt;0,N($J16)&gt;=4.2),"Ja","Nein"))</f>
        <v/>
      </c>
      <c r="AI16" s="14" t="str">
        <f aca="false">IF($A16="","",IF(AND(OR($L16="DIN 43853 Zählertafel ohne Schutzklasse II",$L16="DIN 43853 Norm-Zählertafel (Schutzklasse II)",$L16="DIN 43870 Norm-Zählertafel mit Vorsicherung"),$AG16&gt;0),Regeln!$E$5,""))</f>
        <v/>
      </c>
      <c r="AJ16" s="14" t="str">
        <f aca="false">IF($A16="","",IF(AND(OR($L16="DIN 43870 Zählerschrank, Trennvorrichtung im AAR",$L16="DIN 43870 Zählerschrank, NH-Sicherung im NAR"),OR($AA16="unter 10 mm² oder starr",$AA16="Unbekannt",$AA16=""),$AG16&gt;0),Regeln!$E$6,""))</f>
        <v/>
      </c>
      <c r="AK16" s="14" t="str">
        <f aca="false">IF($A16="","",IF(AND($V16="Nein",$AG16&gt;0),Regeln!$E$7,""))</f>
        <v/>
      </c>
      <c r="AL16" s="14" t="str">
        <f aca="false">IF($A16="","",IF(AND(OR($AH16="Ja",$I16="Ja"),$O16="Nein"),Regeln!$E$8,""))</f>
        <v/>
      </c>
      <c r="AM16" s="14" t="str">
        <f aca="false">IF($A16="","",IF(AND($K16="Modul 2",N($N16)&lt;1),Regeln!$E$9,""))</f>
        <v/>
      </c>
      <c r="AN16" s="14" t="str">
        <f aca="false">IF($A16="","",IF(AND($P16="Nein",$AG16&gt;0,OR(ISNUMBER(SEARCH("westnetz",$D16)),$M16="3-Punkt")),Regeln!$E$10,""))</f>
        <v/>
      </c>
      <c r="AO16" s="14" t="str">
        <f aca="false">IF($A16="","",IF(AND($Q16="Nein",$AG16&gt;0),Regeln!$E$11,""))</f>
        <v/>
      </c>
      <c r="AP16" s="14" t="str">
        <f aca="false">IF($A16="","",IF(AND($R16="1-phasig",OR(N($J16)&gt;4.6,$I16="Ja")),Regeln!$E$12,""))</f>
        <v/>
      </c>
      <c r="AQ16" s="14" t="str">
        <f aca="false">IF($A16="","",IF(OR($U16="Nein",$U16="Unbekannt"),Regeln!$E$13,""))</f>
        <v/>
      </c>
      <c r="AR16" s="14" t="str">
        <f aca="false">IF($A16="","",IF(OR($S16="TN-C",$S16="Unbekannt"),Regeln!$E$14,""))</f>
        <v/>
      </c>
      <c r="AS16" s="14" t="str">
        <f aca="false">IF($A16="","",IF(AND(N($T16)&gt;0,N($T16)&lt;50,$AG16&gt;=2),Regeln!$E$15,""))</f>
        <v/>
      </c>
      <c r="AT16" s="14" t="str">
        <f aca="false">IF($A16="","",IF(AND($E16="Ja",N($J16)&gt;12),Regeln!$E$16,""))</f>
        <v/>
      </c>
      <c r="AU16" s="14" t="str">
        <f aca="false">IF($A16="","",IF($L16="Unbekannt",Regeln!$E$17,""))</f>
        <v/>
      </c>
      <c r="AV16" s="14" t="str">
        <f aca="false">IF($A16="","",IF(AND(OR($L16="DIN 43870 Zählerschrank, Trennvorrichtung im AAR",$L16="DIN 43870 Zählerschrank, NH-Sicherung im NAR"),$AG16&gt;0),Regeln!$E$18,""))</f>
        <v/>
      </c>
      <c r="AW16" s="14" t="str">
        <f aca="false">IF($A16="","",IF(AND(ISNUMBER(SEARCH("westnetz",$D16)),OR($AH16="Ja",$I16="Ja"),$X16="Nein"),Regeln!$E$19,""))</f>
        <v/>
      </c>
      <c r="AX16" s="14" t="str">
        <f aca="false">IF($A16="","",IF(AND(ISNUMBER(SEARCH("westnetz",$D16)),OR($W16="Relais (potentialfrei)",$W16="Digital + Relais",AND($I16="Ja",N($AC16)&gt;=25)),$Y16="Nein"),Regeln!$E$20,""))</f>
        <v/>
      </c>
      <c r="AY16" s="14" t="str">
        <f aca="false">IF($A16="","",IF(AND(ISNUMBER(SEARCH("westnetz",$D16)),OR($W16="Digital (RJ45 / EEBUS)",$W16="Digital + Relais"),$Z16="Nein"),Regeln!$E$21,""))</f>
        <v/>
      </c>
      <c r="AZ16" s="14" t="str">
        <f aca="false">IF($A16="","",IF(AND(ISNUMBER(SEARCH("westnetz",$D16)),N($AB16)&gt;30),Regeln!$E$22,""))</f>
        <v/>
      </c>
      <c r="BA16" s="14" t="str">
        <f aca="false">IF($A16="","",IF(AND($AA16="10 mm² flexibel",N($AB16)*1000/(SQRT(3)*400)&gt;32),Regeln!$E$23,""))</f>
        <v/>
      </c>
      <c r="BB16" s="14" t="str">
        <f aca="false">IF($A16="","",IF(AND(ISNUMBER(SEARCH("westnetz",$D16)),$I16="Ja",N($AC16)&gt;=25),Regeln!$E$24,""))</f>
        <v/>
      </c>
      <c r="BC16" s="14" t="str">
        <f aca="false">IF($A16="","",IF(AND(ISNUMBER(SEARCH("westnetz",$D16)),$I16="Ja",OR($AH16="Ja",N($AC16)&gt;7)),Regeln!$E$25,""))</f>
        <v/>
      </c>
      <c r="BD16" s="14" t="str">
        <f aca="false">IF($A16="","",IF(AND(ISNUMBER(SEARCH("westnetz",$D16)),$AH16="Ja"),Regeln!$E$26,""))</f>
        <v/>
      </c>
      <c r="BE16" s="14" t="str">
        <f aca="false">IF($A16="","",IF(AND(ISNUMBER(SEARCH("westnetz",$D16)),OR($W16="Relais (potentialfrei)",$W16="Digital + Relais"),$M16="3-Punkt",$AD16="Nein"),Regeln!$E$27,""))</f>
        <v/>
      </c>
      <c r="BF16" s="14" t="str">
        <f aca="false">IF($A16="","",IF(AND(ISNUMBER(SEARCH("westnetz",$D16)),$I16="Ja"),Regeln!$E$28,""))</f>
        <v/>
      </c>
      <c r="BG16" s="14" t="str">
        <f aca="false">IF($A16="","",IF(AND(ISNUMBER(SEARCH("westnetz",$D16)),$H16="Ja"),Regeln!$E$29,""))</f>
        <v/>
      </c>
      <c r="BH16" s="14" t="str">
        <f aca="false">IF($A16="","",IF(AND(ISNUMBER(SEARCH("westnetz",$D16)),OR($W16="Relais (potentialfrei)",$W16="Digital + Relais")),Regeln!$E$30,""))</f>
        <v/>
      </c>
      <c r="BI16" s="15" t="str">
        <f aca="false">IF($A16="","",IF($AG16=0,"Kein Vorhaben",CHOOSE(MAX(AI16:BH16)+1,"Weiterverwendbar","Nachrüsten","Austausch")))</f>
        <v/>
      </c>
      <c r="BJ16" s="16" t="str">
        <f aca="false">IF($A16="","",_xlfn.TEXTJOIN(", ",TRUE(),IF(AI16&lt;&gt;"",AI$3,""),IF(AJ16&lt;&gt;"",AJ$3,""),IF(AK16&lt;&gt;"",AK$3,""),IF(AL16&lt;&gt;"",AL$3,""),IF(AM16&lt;&gt;"",AM$3,""),IF(AN16&lt;&gt;"",AN$3,""),IF(AO16&lt;&gt;"",AO$3,""),IF(AP16&lt;&gt;"",AP$3,""),IF(AQ16&lt;&gt;"",AQ$3,""),IF(AR16&lt;&gt;"",AR$3,""),IF(AS16&lt;&gt;"",AS$3,""),IF(AT16&lt;&gt;"",AT$3,""),IF(AU16&lt;&gt;"",AU$3,""),IF(AV16&lt;&gt;"",AV$3,""),IF(AW16&lt;&gt;"",AW$3,""),IF(AX16&lt;&gt;"",AX$3,""),IF(AY16&lt;&gt;"",AY$3,""),IF(AZ16&lt;&gt;"",AZ$3,""),IF(BA16&lt;&gt;"",BA$3,""),IF(BB16&lt;&gt;"",BB$3,""),IF(BC16&lt;&gt;"",BC$3,""),IF(BD16&lt;&gt;"",BD$3,""),IF(BE16&lt;&gt;"",BE$3,""),IF(BF16&lt;&gt;"",BF$3,""),IF(BG16&lt;&gt;"",BG$3,""),IF(BH16&lt;&gt;"",BH$3,"")))</f>
        <v/>
      </c>
      <c r="BK16" s="15" t="str">
        <f aca="false">IF(OR($A16="",$AE16=""),"",IF(BI16=$AE16,"Ja","Nein"))</f>
        <v/>
      </c>
      <c r="BL16" s="16" t="str">
        <f aca="false">IF($A16="","",IF(NOT(ISNUMBER(SEARCH("westnetz",$D16))),"–",IF($I16="Ja",IF($K16="Modul 2","MK 8 (Kaskade: Z1 SteuVE, Z2 Haushalt)","MK 2 (Überschuss)"),IF($K16="Modul 2","MK 0 + eigener Zählpunkt SteuVE","MK 0"))))</f>
        <v/>
      </c>
    </row>
    <row r="17" customFormat="false" ht="1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9"/>
      <c r="AG17" s="14" t="str">
        <f aca="false">IF($A17="","",COUNTIF($E17:$I17,"Ja"))</f>
        <v/>
      </c>
      <c r="AH17" s="14" t="str">
        <f aca="false">IF($A17="","",IF(AND(COUNTIF($E17:$H17,"Ja")&gt;0,N($J17)&gt;=4.2),"Ja","Nein"))</f>
        <v/>
      </c>
      <c r="AI17" s="14" t="str">
        <f aca="false">IF($A17="","",IF(AND(OR($L17="DIN 43853 Zählertafel ohne Schutzklasse II",$L17="DIN 43853 Norm-Zählertafel (Schutzklasse II)",$L17="DIN 43870 Norm-Zählertafel mit Vorsicherung"),$AG17&gt;0),Regeln!$E$5,""))</f>
        <v/>
      </c>
      <c r="AJ17" s="14" t="str">
        <f aca="false">IF($A17="","",IF(AND(OR($L17="DIN 43870 Zählerschrank, Trennvorrichtung im AAR",$L17="DIN 43870 Zählerschrank, NH-Sicherung im NAR"),OR($AA17="unter 10 mm² oder starr",$AA17="Unbekannt",$AA17=""),$AG17&gt;0),Regeln!$E$6,""))</f>
        <v/>
      </c>
      <c r="AK17" s="14" t="str">
        <f aca="false">IF($A17="","",IF(AND($V17="Nein",$AG17&gt;0),Regeln!$E$7,""))</f>
        <v/>
      </c>
      <c r="AL17" s="14" t="str">
        <f aca="false">IF($A17="","",IF(AND(OR($AH17="Ja",$I17="Ja"),$O17="Nein"),Regeln!$E$8,""))</f>
        <v/>
      </c>
      <c r="AM17" s="14" t="str">
        <f aca="false">IF($A17="","",IF(AND($K17="Modul 2",N($N17)&lt;1),Regeln!$E$9,""))</f>
        <v/>
      </c>
      <c r="AN17" s="14" t="str">
        <f aca="false">IF($A17="","",IF(AND($P17="Nein",$AG17&gt;0,OR(ISNUMBER(SEARCH("westnetz",$D17)),$M17="3-Punkt")),Regeln!$E$10,""))</f>
        <v/>
      </c>
      <c r="AO17" s="14" t="str">
        <f aca="false">IF($A17="","",IF(AND($Q17="Nein",$AG17&gt;0),Regeln!$E$11,""))</f>
        <v/>
      </c>
      <c r="AP17" s="14" t="str">
        <f aca="false">IF($A17="","",IF(AND($R17="1-phasig",OR(N($J17)&gt;4.6,$I17="Ja")),Regeln!$E$12,""))</f>
        <v/>
      </c>
      <c r="AQ17" s="14" t="str">
        <f aca="false">IF($A17="","",IF(OR($U17="Nein",$U17="Unbekannt"),Regeln!$E$13,""))</f>
        <v/>
      </c>
      <c r="AR17" s="14" t="str">
        <f aca="false">IF($A17="","",IF(OR($S17="TN-C",$S17="Unbekannt"),Regeln!$E$14,""))</f>
        <v/>
      </c>
      <c r="AS17" s="14" t="str">
        <f aca="false">IF($A17="","",IF(AND(N($T17)&gt;0,N($T17)&lt;50,$AG17&gt;=2),Regeln!$E$15,""))</f>
        <v/>
      </c>
      <c r="AT17" s="14" t="str">
        <f aca="false">IF($A17="","",IF(AND($E17="Ja",N($J17)&gt;12),Regeln!$E$16,""))</f>
        <v/>
      </c>
      <c r="AU17" s="14" t="str">
        <f aca="false">IF($A17="","",IF($L17="Unbekannt",Regeln!$E$17,""))</f>
        <v/>
      </c>
      <c r="AV17" s="14" t="str">
        <f aca="false">IF($A17="","",IF(AND(OR($L17="DIN 43870 Zählerschrank, Trennvorrichtung im AAR",$L17="DIN 43870 Zählerschrank, NH-Sicherung im NAR"),$AG17&gt;0),Regeln!$E$18,""))</f>
        <v/>
      </c>
      <c r="AW17" s="14" t="str">
        <f aca="false">IF($A17="","",IF(AND(ISNUMBER(SEARCH("westnetz",$D17)),OR($AH17="Ja",$I17="Ja"),$X17="Nein"),Regeln!$E$19,""))</f>
        <v/>
      </c>
      <c r="AX17" s="14" t="str">
        <f aca="false">IF($A17="","",IF(AND(ISNUMBER(SEARCH("westnetz",$D17)),OR($W17="Relais (potentialfrei)",$W17="Digital + Relais",AND($I17="Ja",N($AC17)&gt;=25)),$Y17="Nein"),Regeln!$E$20,""))</f>
        <v/>
      </c>
      <c r="AY17" s="14" t="str">
        <f aca="false">IF($A17="","",IF(AND(ISNUMBER(SEARCH("westnetz",$D17)),OR($W17="Digital (RJ45 / EEBUS)",$W17="Digital + Relais"),$Z17="Nein"),Regeln!$E$21,""))</f>
        <v/>
      </c>
      <c r="AZ17" s="14" t="str">
        <f aca="false">IF($A17="","",IF(AND(ISNUMBER(SEARCH("westnetz",$D17)),N($AB17)&gt;30),Regeln!$E$22,""))</f>
        <v/>
      </c>
      <c r="BA17" s="14" t="str">
        <f aca="false">IF($A17="","",IF(AND($AA17="10 mm² flexibel",N($AB17)*1000/(SQRT(3)*400)&gt;32),Regeln!$E$23,""))</f>
        <v/>
      </c>
      <c r="BB17" s="14" t="str">
        <f aca="false">IF($A17="","",IF(AND(ISNUMBER(SEARCH("westnetz",$D17)),$I17="Ja",N($AC17)&gt;=25),Regeln!$E$24,""))</f>
        <v/>
      </c>
      <c r="BC17" s="14" t="str">
        <f aca="false">IF($A17="","",IF(AND(ISNUMBER(SEARCH("westnetz",$D17)),$I17="Ja",OR($AH17="Ja",N($AC17)&gt;7)),Regeln!$E$25,""))</f>
        <v/>
      </c>
      <c r="BD17" s="14" t="str">
        <f aca="false">IF($A17="","",IF(AND(ISNUMBER(SEARCH("westnetz",$D17)),$AH17="Ja"),Regeln!$E$26,""))</f>
        <v/>
      </c>
      <c r="BE17" s="14" t="str">
        <f aca="false">IF($A17="","",IF(AND(ISNUMBER(SEARCH("westnetz",$D17)),OR($W17="Relais (potentialfrei)",$W17="Digital + Relais"),$M17="3-Punkt",$AD17="Nein"),Regeln!$E$27,""))</f>
        <v/>
      </c>
      <c r="BF17" s="14" t="str">
        <f aca="false">IF($A17="","",IF(AND(ISNUMBER(SEARCH("westnetz",$D17)),$I17="Ja"),Regeln!$E$28,""))</f>
        <v/>
      </c>
      <c r="BG17" s="14" t="str">
        <f aca="false">IF($A17="","",IF(AND(ISNUMBER(SEARCH("westnetz",$D17)),$H17="Ja"),Regeln!$E$29,""))</f>
        <v/>
      </c>
      <c r="BH17" s="14" t="str">
        <f aca="false">IF($A17="","",IF(AND(ISNUMBER(SEARCH("westnetz",$D17)),OR($W17="Relais (potentialfrei)",$W17="Digital + Relais")),Regeln!$E$30,""))</f>
        <v/>
      </c>
      <c r="BI17" s="15" t="str">
        <f aca="false">IF($A17="","",IF($AG17=0,"Kein Vorhaben",CHOOSE(MAX(AI17:BH17)+1,"Weiterverwendbar","Nachrüsten","Austausch")))</f>
        <v/>
      </c>
      <c r="BJ17" s="16" t="str">
        <f aca="false">IF($A17="","",_xlfn.TEXTJOIN(", ",TRUE(),IF(AI17&lt;&gt;"",AI$3,""),IF(AJ17&lt;&gt;"",AJ$3,""),IF(AK17&lt;&gt;"",AK$3,""),IF(AL17&lt;&gt;"",AL$3,""),IF(AM17&lt;&gt;"",AM$3,""),IF(AN17&lt;&gt;"",AN$3,""),IF(AO17&lt;&gt;"",AO$3,""),IF(AP17&lt;&gt;"",AP$3,""),IF(AQ17&lt;&gt;"",AQ$3,""),IF(AR17&lt;&gt;"",AR$3,""),IF(AS17&lt;&gt;"",AS$3,""),IF(AT17&lt;&gt;"",AT$3,""),IF(AU17&lt;&gt;"",AU$3,""),IF(AV17&lt;&gt;"",AV$3,""),IF(AW17&lt;&gt;"",AW$3,""),IF(AX17&lt;&gt;"",AX$3,""),IF(AY17&lt;&gt;"",AY$3,""),IF(AZ17&lt;&gt;"",AZ$3,""),IF(BA17&lt;&gt;"",BA$3,""),IF(BB17&lt;&gt;"",BB$3,""),IF(BC17&lt;&gt;"",BC$3,""),IF(BD17&lt;&gt;"",BD$3,""),IF(BE17&lt;&gt;"",BE$3,""),IF(BF17&lt;&gt;"",BF$3,""),IF(BG17&lt;&gt;"",BG$3,""),IF(BH17&lt;&gt;"",BH$3,"")))</f>
        <v/>
      </c>
      <c r="BK17" s="15" t="str">
        <f aca="false">IF(OR($A17="",$AE17=""),"",IF(BI17=$AE17,"Ja","Nein"))</f>
        <v/>
      </c>
      <c r="BL17" s="16" t="str">
        <f aca="false">IF($A17="","",IF(NOT(ISNUMBER(SEARCH("westnetz",$D17))),"–",IF($I17="Ja",IF($K17="Modul 2","MK 8 (Kaskade: Z1 SteuVE, Z2 Haushalt)","MK 2 (Überschuss)"),IF($K17="Modul 2","MK 0 + eigener Zählpunkt SteuVE","MK 0"))))</f>
        <v/>
      </c>
    </row>
    <row r="18" customFormat="false" ht="1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9"/>
      <c r="AG18" s="14" t="str">
        <f aca="false">IF($A18="","",COUNTIF($E18:$I18,"Ja"))</f>
        <v/>
      </c>
      <c r="AH18" s="14" t="str">
        <f aca="false">IF($A18="","",IF(AND(COUNTIF($E18:$H18,"Ja")&gt;0,N($J18)&gt;=4.2),"Ja","Nein"))</f>
        <v/>
      </c>
      <c r="AI18" s="14" t="str">
        <f aca="false">IF($A18="","",IF(AND(OR($L18="DIN 43853 Zählertafel ohne Schutzklasse II",$L18="DIN 43853 Norm-Zählertafel (Schutzklasse II)",$L18="DIN 43870 Norm-Zählertafel mit Vorsicherung"),$AG18&gt;0),Regeln!$E$5,""))</f>
        <v/>
      </c>
      <c r="AJ18" s="14" t="str">
        <f aca="false">IF($A18="","",IF(AND(OR($L18="DIN 43870 Zählerschrank, Trennvorrichtung im AAR",$L18="DIN 43870 Zählerschrank, NH-Sicherung im NAR"),OR($AA18="unter 10 mm² oder starr",$AA18="Unbekannt",$AA18=""),$AG18&gt;0),Regeln!$E$6,""))</f>
        <v/>
      </c>
      <c r="AK18" s="14" t="str">
        <f aca="false">IF($A18="","",IF(AND($V18="Nein",$AG18&gt;0),Regeln!$E$7,""))</f>
        <v/>
      </c>
      <c r="AL18" s="14" t="str">
        <f aca="false">IF($A18="","",IF(AND(OR($AH18="Ja",$I18="Ja"),$O18="Nein"),Regeln!$E$8,""))</f>
        <v/>
      </c>
      <c r="AM18" s="14" t="str">
        <f aca="false">IF($A18="","",IF(AND($K18="Modul 2",N($N18)&lt;1),Regeln!$E$9,""))</f>
        <v/>
      </c>
      <c r="AN18" s="14" t="str">
        <f aca="false">IF($A18="","",IF(AND($P18="Nein",$AG18&gt;0,OR(ISNUMBER(SEARCH("westnetz",$D18)),$M18="3-Punkt")),Regeln!$E$10,""))</f>
        <v/>
      </c>
      <c r="AO18" s="14" t="str">
        <f aca="false">IF($A18="","",IF(AND($Q18="Nein",$AG18&gt;0),Regeln!$E$11,""))</f>
        <v/>
      </c>
      <c r="AP18" s="14" t="str">
        <f aca="false">IF($A18="","",IF(AND($R18="1-phasig",OR(N($J18)&gt;4.6,$I18="Ja")),Regeln!$E$12,""))</f>
        <v/>
      </c>
      <c r="AQ18" s="14" t="str">
        <f aca="false">IF($A18="","",IF(OR($U18="Nein",$U18="Unbekannt"),Regeln!$E$13,""))</f>
        <v/>
      </c>
      <c r="AR18" s="14" t="str">
        <f aca="false">IF($A18="","",IF(OR($S18="TN-C",$S18="Unbekannt"),Regeln!$E$14,""))</f>
        <v/>
      </c>
      <c r="AS18" s="14" t="str">
        <f aca="false">IF($A18="","",IF(AND(N($T18)&gt;0,N($T18)&lt;50,$AG18&gt;=2),Regeln!$E$15,""))</f>
        <v/>
      </c>
      <c r="AT18" s="14" t="str">
        <f aca="false">IF($A18="","",IF(AND($E18="Ja",N($J18)&gt;12),Regeln!$E$16,""))</f>
        <v/>
      </c>
      <c r="AU18" s="14" t="str">
        <f aca="false">IF($A18="","",IF($L18="Unbekannt",Regeln!$E$17,""))</f>
        <v/>
      </c>
      <c r="AV18" s="14" t="str">
        <f aca="false">IF($A18="","",IF(AND(OR($L18="DIN 43870 Zählerschrank, Trennvorrichtung im AAR",$L18="DIN 43870 Zählerschrank, NH-Sicherung im NAR"),$AG18&gt;0),Regeln!$E$18,""))</f>
        <v/>
      </c>
      <c r="AW18" s="14" t="str">
        <f aca="false">IF($A18="","",IF(AND(ISNUMBER(SEARCH("westnetz",$D18)),OR($AH18="Ja",$I18="Ja"),$X18="Nein"),Regeln!$E$19,""))</f>
        <v/>
      </c>
      <c r="AX18" s="14" t="str">
        <f aca="false">IF($A18="","",IF(AND(ISNUMBER(SEARCH("westnetz",$D18)),OR($W18="Relais (potentialfrei)",$W18="Digital + Relais",AND($I18="Ja",N($AC18)&gt;=25)),$Y18="Nein"),Regeln!$E$20,""))</f>
        <v/>
      </c>
      <c r="AY18" s="14" t="str">
        <f aca="false">IF($A18="","",IF(AND(ISNUMBER(SEARCH("westnetz",$D18)),OR($W18="Digital (RJ45 / EEBUS)",$W18="Digital + Relais"),$Z18="Nein"),Regeln!$E$21,""))</f>
        <v/>
      </c>
      <c r="AZ18" s="14" t="str">
        <f aca="false">IF($A18="","",IF(AND(ISNUMBER(SEARCH("westnetz",$D18)),N($AB18)&gt;30),Regeln!$E$22,""))</f>
        <v/>
      </c>
      <c r="BA18" s="14" t="str">
        <f aca="false">IF($A18="","",IF(AND($AA18="10 mm² flexibel",N($AB18)*1000/(SQRT(3)*400)&gt;32),Regeln!$E$23,""))</f>
        <v/>
      </c>
      <c r="BB18" s="14" t="str">
        <f aca="false">IF($A18="","",IF(AND(ISNUMBER(SEARCH("westnetz",$D18)),$I18="Ja",N($AC18)&gt;=25),Regeln!$E$24,""))</f>
        <v/>
      </c>
      <c r="BC18" s="14" t="str">
        <f aca="false">IF($A18="","",IF(AND(ISNUMBER(SEARCH("westnetz",$D18)),$I18="Ja",OR($AH18="Ja",N($AC18)&gt;7)),Regeln!$E$25,""))</f>
        <v/>
      </c>
      <c r="BD18" s="14" t="str">
        <f aca="false">IF($A18="","",IF(AND(ISNUMBER(SEARCH("westnetz",$D18)),$AH18="Ja"),Regeln!$E$26,""))</f>
        <v/>
      </c>
      <c r="BE18" s="14" t="str">
        <f aca="false">IF($A18="","",IF(AND(ISNUMBER(SEARCH("westnetz",$D18)),OR($W18="Relais (potentialfrei)",$W18="Digital + Relais"),$M18="3-Punkt",$AD18="Nein"),Regeln!$E$27,""))</f>
        <v/>
      </c>
      <c r="BF18" s="14" t="str">
        <f aca="false">IF($A18="","",IF(AND(ISNUMBER(SEARCH("westnetz",$D18)),$I18="Ja"),Regeln!$E$28,""))</f>
        <v/>
      </c>
      <c r="BG18" s="14" t="str">
        <f aca="false">IF($A18="","",IF(AND(ISNUMBER(SEARCH("westnetz",$D18)),$H18="Ja"),Regeln!$E$29,""))</f>
        <v/>
      </c>
      <c r="BH18" s="14" t="str">
        <f aca="false">IF($A18="","",IF(AND(ISNUMBER(SEARCH("westnetz",$D18)),OR($W18="Relais (potentialfrei)",$W18="Digital + Relais")),Regeln!$E$30,""))</f>
        <v/>
      </c>
      <c r="BI18" s="15" t="str">
        <f aca="false">IF($A18="","",IF($AG18=0,"Kein Vorhaben",CHOOSE(MAX(AI18:BH18)+1,"Weiterverwendbar","Nachrüsten","Austausch")))</f>
        <v/>
      </c>
      <c r="BJ18" s="16" t="str">
        <f aca="false">IF($A18="","",_xlfn.TEXTJOIN(", ",TRUE(),IF(AI18&lt;&gt;"",AI$3,""),IF(AJ18&lt;&gt;"",AJ$3,""),IF(AK18&lt;&gt;"",AK$3,""),IF(AL18&lt;&gt;"",AL$3,""),IF(AM18&lt;&gt;"",AM$3,""),IF(AN18&lt;&gt;"",AN$3,""),IF(AO18&lt;&gt;"",AO$3,""),IF(AP18&lt;&gt;"",AP$3,""),IF(AQ18&lt;&gt;"",AQ$3,""),IF(AR18&lt;&gt;"",AR$3,""),IF(AS18&lt;&gt;"",AS$3,""),IF(AT18&lt;&gt;"",AT$3,""),IF(AU18&lt;&gt;"",AU$3,""),IF(AV18&lt;&gt;"",AV$3,""),IF(AW18&lt;&gt;"",AW$3,""),IF(AX18&lt;&gt;"",AX$3,""),IF(AY18&lt;&gt;"",AY$3,""),IF(AZ18&lt;&gt;"",AZ$3,""),IF(BA18&lt;&gt;"",BA$3,""),IF(BB18&lt;&gt;"",BB$3,""),IF(BC18&lt;&gt;"",BC$3,""),IF(BD18&lt;&gt;"",BD$3,""),IF(BE18&lt;&gt;"",BE$3,""),IF(BF18&lt;&gt;"",BF$3,""),IF(BG18&lt;&gt;"",BG$3,""),IF(BH18&lt;&gt;"",BH$3,"")))</f>
        <v/>
      </c>
      <c r="BK18" s="15" t="str">
        <f aca="false">IF(OR($A18="",$AE18=""),"",IF(BI18=$AE18,"Ja","Nein"))</f>
        <v/>
      </c>
      <c r="BL18" s="16" t="str">
        <f aca="false">IF($A18="","",IF(NOT(ISNUMBER(SEARCH("westnetz",$D18))),"–",IF($I18="Ja",IF($K18="Modul 2","MK 8 (Kaskade: Z1 SteuVE, Z2 Haushalt)","MK 2 (Überschuss)"),IF($K18="Modul 2","MK 0 + eigener Zählpunkt SteuVE","MK 0"))))</f>
        <v/>
      </c>
    </row>
    <row r="19" customFormat="false" ht="1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9"/>
      <c r="AG19" s="14" t="str">
        <f aca="false">IF($A19="","",COUNTIF($E19:$I19,"Ja"))</f>
        <v/>
      </c>
      <c r="AH19" s="14" t="str">
        <f aca="false">IF($A19="","",IF(AND(COUNTIF($E19:$H19,"Ja")&gt;0,N($J19)&gt;=4.2),"Ja","Nein"))</f>
        <v/>
      </c>
      <c r="AI19" s="14" t="str">
        <f aca="false">IF($A19="","",IF(AND(OR($L19="DIN 43853 Zählertafel ohne Schutzklasse II",$L19="DIN 43853 Norm-Zählertafel (Schutzklasse II)",$L19="DIN 43870 Norm-Zählertafel mit Vorsicherung"),$AG19&gt;0),Regeln!$E$5,""))</f>
        <v/>
      </c>
      <c r="AJ19" s="14" t="str">
        <f aca="false">IF($A19="","",IF(AND(OR($L19="DIN 43870 Zählerschrank, Trennvorrichtung im AAR",$L19="DIN 43870 Zählerschrank, NH-Sicherung im NAR"),OR($AA19="unter 10 mm² oder starr",$AA19="Unbekannt",$AA19=""),$AG19&gt;0),Regeln!$E$6,""))</f>
        <v/>
      </c>
      <c r="AK19" s="14" t="str">
        <f aca="false">IF($A19="","",IF(AND($V19="Nein",$AG19&gt;0),Regeln!$E$7,""))</f>
        <v/>
      </c>
      <c r="AL19" s="14" t="str">
        <f aca="false">IF($A19="","",IF(AND(OR($AH19="Ja",$I19="Ja"),$O19="Nein"),Regeln!$E$8,""))</f>
        <v/>
      </c>
      <c r="AM19" s="14" t="str">
        <f aca="false">IF($A19="","",IF(AND($K19="Modul 2",N($N19)&lt;1),Regeln!$E$9,""))</f>
        <v/>
      </c>
      <c r="AN19" s="14" t="str">
        <f aca="false">IF($A19="","",IF(AND($P19="Nein",$AG19&gt;0,OR(ISNUMBER(SEARCH("westnetz",$D19)),$M19="3-Punkt")),Regeln!$E$10,""))</f>
        <v/>
      </c>
      <c r="AO19" s="14" t="str">
        <f aca="false">IF($A19="","",IF(AND($Q19="Nein",$AG19&gt;0),Regeln!$E$11,""))</f>
        <v/>
      </c>
      <c r="AP19" s="14" t="str">
        <f aca="false">IF($A19="","",IF(AND($R19="1-phasig",OR(N($J19)&gt;4.6,$I19="Ja")),Regeln!$E$12,""))</f>
        <v/>
      </c>
      <c r="AQ19" s="14" t="str">
        <f aca="false">IF($A19="","",IF(OR($U19="Nein",$U19="Unbekannt"),Regeln!$E$13,""))</f>
        <v/>
      </c>
      <c r="AR19" s="14" t="str">
        <f aca="false">IF($A19="","",IF(OR($S19="TN-C",$S19="Unbekannt"),Regeln!$E$14,""))</f>
        <v/>
      </c>
      <c r="AS19" s="14" t="str">
        <f aca="false">IF($A19="","",IF(AND(N($T19)&gt;0,N($T19)&lt;50,$AG19&gt;=2),Regeln!$E$15,""))</f>
        <v/>
      </c>
      <c r="AT19" s="14" t="str">
        <f aca="false">IF($A19="","",IF(AND($E19="Ja",N($J19)&gt;12),Regeln!$E$16,""))</f>
        <v/>
      </c>
      <c r="AU19" s="14" t="str">
        <f aca="false">IF($A19="","",IF($L19="Unbekannt",Regeln!$E$17,""))</f>
        <v/>
      </c>
      <c r="AV19" s="14" t="str">
        <f aca="false">IF($A19="","",IF(AND(OR($L19="DIN 43870 Zählerschrank, Trennvorrichtung im AAR",$L19="DIN 43870 Zählerschrank, NH-Sicherung im NAR"),$AG19&gt;0),Regeln!$E$18,""))</f>
        <v/>
      </c>
      <c r="AW19" s="14" t="str">
        <f aca="false">IF($A19="","",IF(AND(ISNUMBER(SEARCH("westnetz",$D19)),OR($AH19="Ja",$I19="Ja"),$X19="Nein"),Regeln!$E$19,""))</f>
        <v/>
      </c>
      <c r="AX19" s="14" t="str">
        <f aca="false">IF($A19="","",IF(AND(ISNUMBER(SEARCH("westnetz",$D19)),OR($W19="Relais (potentialfrei)",$W19="Digital + Relais",AND($I19="Ja",N($AC19)&gt;=25)),$Y19="Nein"),Regeln!$E$20,""))</f>
        <v/>
      </c>
      <c r="AY19" s="14" t="str">
        <f aca="false">IF($A19="","",IF(AND(ISNUMBER(SEARCH("westnetz",$D19)),OR($W19="Digital (RJ45 / EEBUS)",$W19="Digital + Relais"),$Z19="Nein"),Regeln!$E$21,""))</f>
        <v/>
      </c>
      <c r="AZ19" s="14" t="str">
        <f aca="false">IF($A19="","",IF(AND(ISNUMBER(SEARCH("westnetz",$D19)),N($AB19)&gt;30),Regeln!$E$22,""))</f>
        <v/>
      </c>
      <c r="BA19" s="14" t="str">
        <f aca="false">IF($A19="","",IF(AND($AA19="10 mm² flexibel",N($AB19)*1000/(SQRT(3)*400)&gt;32),Regeln!$E$23,""))</f>
        <v/>
      </c>
      <c r="BB19" s="14" t="str">
        <f aca="false">IF($A19="","",IF(AND(ISNUMBER(SEARCH("westnetz",$D19)),$I19="Ja",N($AC19)&gt;=25),Regeln!$E$24,""))</f>
        <v/>
      </c>
      <c r="BC19" s="14" t="str">
        <f aca="false">IF($A19="","",IF(AND(ISNUMBER(SEARCH("westnetz",$D19)),$I19="Ja",OR($AH19="Ja",N($AC19)&gt;7)),Regeln!$E$25,""))</f>
        <v/>
      </c>
      <c r="BD19" s="14" t="str">
        <f aca="false">IF($A19="","",IF(AND(ISNUMBER(SEARCH("westnetz",$D19)),$AH19="Ja"),Regeln!$E$26,""))</f>
        <v/>
      </c>
      <c r="BE19" s="14" t="str">
        <f aca="false">IF($A19="","",IF(AND(ISNUMBER(SEARCH("westnetz",$D19)),OR($W19="Relais (potentialfrei)",$W19="Digital + Relais"),$M19="3-Punkt",$AD19="Nein"),Regeln!$E$27,""))</f>
        <v/>
      </c>
      <c r="BF19" s="14" t="str">
        <f aca="false">IF($A19="","",IF(AND(ISNUMBER(SEARCH("westnetz",$D19)),$I19="Ja"),Regeln!$E$28,""))</f>
        <v/>
      </c>
      <c r="BG19" s="14" t="str">
        <f aca="false">IF($A19="","",IF(AND(ISNUMBER(SEARCH("westnetz",$D19)),$H19="Ja"),Regeln!$E$29,""))</f>
        <v/>
      </c>
      <c r="BH19" s="14" t="str">
        <f aca="false">IF($A19="","",IF(AND(ISNUMBER(SEARCH("westnetz",$D19)),OR($W19="Relais (potentialfrei)",$W19="Digital + Relais")),Regeln!$E$30,""))</f>
        <v/>
      </c>
      <c r="BI19" s="15" t="str">
        <f aca="false">IF($A19="","",IF($AG19=0,"Kein Vorhaben",CHOOSE(MAX(AI19:BH19)+1,"Weiterverwendbar","Nachrüsten","Austausch")))</f>
        <v/>
      </c>
      <c r="BJ19" s="16" t="str">
        <f aca="false">IF($A19="","",_xlfn.TEXTJOIN(", ",TRUE(),IF(AI19&lt;&gt;"",AI$3,""),IF(AJ19&lt;&gt;"",AJ$3,""),IF(AK19&lt;&gt;"",AK$3,""),IF(AL19&lt;&gt;"",AL$3,""),IF(AM19&lt;&gt;"",AM$3,""),IF(AN19&lt;&gt;"",AN$3,""),IF(AO19&lt;&gt;"",AO$3,""),IF(AP19&lt;&gt;"",AP$3,""),IF(AQ19&lt;&gt;"",AQ$3,""),IF(AR19&lt;&gt;"",AR$3,""),IF(AS19&lt;&gt;"",AS$3,""),IF(AT19&lt;&gt;"",AT$3,""),IF(AU19&lt;&gt;"",AU$3,""),IF(AV19&lt;&gt;"",AV$3,""),IF(AW19&lt;&gt;"",AW$3,""),IF(AX19&lt;&gt;"",AX$3,""),IF(AY19&lt;&gt;"",AY$3,""),IF(AZ19&lt;&gt;"",AZ$3,""),IF(BA19&lt;&gt;"",BA$3,""),IF(BB19&lt;&gt;"",BB$3,""),IF(BC19&lt;&gt;"",BC$3,""),IF(BD19&lt;&gt;"",BD$3,""),IF(BE19&lt;&gt;"",BE$3,""),IF(BF19&lt;&gt;"",BF$3,""),IF(BG19&lt;&gt;"",BG$3,""),IF(BH19&lt;&gt;"",BH$3,"")))</f>
        <v/>
      </c>
      <c r="BK19" s="15" t="str">
        <f aca="false">IF(OR($A19="",$AE19=""),"",IF(BI19=$AE19,"Ja","Nein"))</f>
        <v/>
      </c>
      <c r="BL19" s="16" t="str">
        <f aca="false">IF($A19="","",IF(NOT(ISNUMBER(SEARCH("westnetz",$D19))),"–",IF($I19="Ja",IF($K19="Modul 2","MK 8 (Kaskade: Z1 SteuVE, Z2 Haushalt)","MK 2 (Überschuss)"),IF($K19="Modul 2","MK 0 + eigener Zählpunkt SteuVE","MK 0"))))</f>
        <v/>
      </c>
    </row>
    <row r="20" customFormat="false" ht="1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9"/>
      <c r="AG20" s="14" t="str">
        <f aca="false">IF($A20="","",COUNTIF($E20:$I20,"Ja"))</f>
        <v/>
      </c>
      <c r="AH20" s="14" t="str">
        <f aca="false">IF($A20="","",IF(AND(COUNTIF($E20:$H20,"Ja")&gt;0,N($J20)&gt;=4.2),"Ja","Nein"))</f>
        <v/>
      </c>
      <c r="AI20" s="14" t="str">
        <f aca="false">IF($A20="","",IF(AND(OR($L20="DIN 43853 Zählertafel ohne Schutzklasse II",$L20="DIN 43853 Norm-Zählertafel (Schutzklasse II)",$L20="DIN 43870 Norm-Zählertafel mit Vorsicherung"),$AG20&gt;0),Regeln!$E$5,""))</f>
        <v/>
      </c>
      <c r="AJ20" s="14" t="str">
        <f aca="false">IF($A20="","",IF(AND(OR($L20="DIN 43870 Zählerschrank, Trennvorrichtung im AAR",$L20="DIN 43870 Zählerschrank, NH-Sicherung im NAR"),OR($AA20="unter 10 mm² oder starr",$AA20="Unbekannt",$AA20=""),$AG20&gt;0),Regeln!$E$6,""))</f>
        <v/>
      </c>
      <c r="AK20" s="14" t="str">
        <f aca="false">IF($A20="","",IF(AND($V20="Nein",$AG20&gt;0),Regeln!$E$7,""))</f>
        <v/>
      </c>
      <c r="AL20" s="14" t="str">
        <f aca="false">IF($A20="","",IF(AND(OR($AH20="Ja",$I20="Ja"),$O20="Nein"),Regeln!$E$8,""))</f>
        <v/>
      </c>
      <c r="AM20" s="14" t="str">
        <f aca="false">IF($A20="","",IF(AND($K20="Modul 2",N($N20)&lt;1),Regeln!$E$9,""))</f>
        <v/>
      </c>
      <c r="AN20" s="14" t="str">
        <f aca="false">IF($A20="","",IF(AND($P20="Nein",$AG20&gt;0,OR(ISNUMBER(SEARCH("westnetz",$D20)),$M20="3-Punkt")),Regeln!$E$10,""))</f>
        <v/>
      </c>
      <c r="AO20" s="14" t="str">
        <f aca="false">IF($A20="","",IF(AND($Q20="Nein",$AG20&gt;0),Regeln!$E$11,""))</f>
        <v/>
      </c>
      <c r="AP20" s="14" t="str">
        <f aca="false">IF($A20="","",IF(AND($R20="1-phasig",OR(N($J20)&gt;4.6,$I20="Ja")),Regeln!$E$12,""))</f>
        <v/>
      </c>
      <c r="AQ20" s="14" t="str">
        <f aca="false">IF($A20="","",IF(OR($U20="Nein",$U20="Unbekannt"),Regeln!$E$13,""))</f>
        <v/>
      </c>
      <c r="AR20" s="14" t="str">
        <f aca="false">IF($A20="","",IF(OR($S20="TN-C",$S20="Unbekannt"),Regeln!$E$14,""))</f>
        <v/>
      </c>
      <c r="AS20" s="14" t="str">
        <f aca="false">IF($A20="","",IF(AND(N($T20)&gt;0,N($T20)&lt;50,$AG20&gt;=2),Regeln!$E$15,""))</f>
        <v/>
      </c>
      <c r="AT20" s="14" t="str">
        <f aca="false">IF($A20="","",IF(AND($E20="Ja",N($J20)&gt;12),Regeln!$E$16,""))</f>
        <v/>
      </c>
      <c r="AU20" s="14" t="str">
        <f aca="false">IF($A20="","",IF($L20="Unbekannt",Regeln!$E$17,""))</f>
        <v/>
      </c>
      <c r="AV20" s="14" t="str">
        <f aca="false">IF($A20="","",IF(AND(OR($L20="DIN 43870 Zählerschrank, Trennvorrichtung im AAR",$L20="DIN 43870 Zählerschrank, NH-Sicherung im NAR"),$AG20&gt;0),Regeln!$E$18,""))</f>
        <v/>
      </c>
      <c r="AW20" s="14" t="str">
        <f aca="false">IF($A20="","",IF(AND(ISNUMBER(SEARCH("westnetz",$D20)),OR($AH20="Ja",$I20="Ja"),$X20="Nein"),Regeln!$E$19,""))</f>
        <v/>
      </c>
      <c r="AX20" s="14" t="str">
        <f aca="false">IF($A20="","",IF(AND(ISNUMBER(SEARCH("westnetz",$D20)),OR($W20="Relais (potentialfrei)",$W20="Digital + Relais",AND($I20="Ja",N($AC20)&gt;=25)),$Y20="Nein"),Regeln!$E$20,""))</f>
        <v/>
      </c>
      <c r="AY20" s="14" t="str">
        <f aca="false">IF($A20="","",IF(AND(ISNUMBER(SEARCH("westnetz",$D20)),OR($W20="Digital (RJ45 / EEBUS)",$W20="Digital + Relais"),$Z20="Nein"),Regeln!$E$21,""))</f>
        <v/>
      </c>
      <c r="AZ20" s="14" t="str">
        <f aca="false">IF($A20="","",IF(AND(ISNUMBER(SEARCH("westnetz",$D20)),N($AB20)&gt;30),Regeln!$E$22,""))</f>
        <v/>
      </c>
      <c r="BA20" s="14" t="str">
        <f aca="false">IF($A20="","",IF(AND($AA20="10 mm² flexibel",N($AB20)*1000/(SQRT(3)*400)&gt;32),Regeln!$E$23,""))</f>
        <v/>
      </c>
      <c r="BB20" s="14" t="str">
        <f aca="false">IF($A20="","",IF(AND(ISNUMBER(SEARCH("westnetz",$D20)),$I20="Ja",N($AC20)&gt;=25),Regeln!$E$24,""))</f>
        <v/>
      </c>
      <c r="BC20" s="14" t="str">
        <f aca="false">IF($A20="","",IF(AND(ISNUMBER(SEARCH("westnetz",$D20)),$I20="Ja",OR($AH20="Ja",N($AC20)&gt;7)),Regeln!$E$25,""))</f>
        <v/>
      </c>
      <c r="BD20" s="14" t="str">
        <f aca="false">IF($A20="","",IF(AND(ISNUMBER(SEARCH("westnetz",$D20)),$AH20="Ja"),Regeln!$E$26,""))</f>
        <v/>
      </c>
      <c r="BE20" s="14" t="str">
        <f aca="false">IF($A20="","",IF(AND(ISNUMBER(SEARCH("westnetz",$D20)),OR($W20="Relais (potentialfrei)",$W20="Digital + Relais"),$M20="3-Punkt",$AD20="Nein"),Regeln!$E$27,""))</f>
        <v/>
      </c>
      <c r="BF20" s="14" t="str">
        <f aca="false">IF($A20="","",IF(AND(ISNUMBER(SEARCH("westnetz",$D20)),$I20="Ja"),Regeln!$E$28,""))</f>
        <v/>
      </c>
      <c r="BG20" s="14" t="str">
        <f aca="false">IF($A20="","",IF(AND(ISNUMBER(SEARCH("westnetz",$D20)),$H20="Ja"),Regeln!$E$29,""))</f>
        <v/>
      </c>
      <c r="BH20" s="14" t="str">
        <f aca="false">IF($A20="","",IF(AND(ISNUMBER(SEARCH("westnetz",$D20)),OR($W20="Relais (potentialfrei)",$W20="Digital + Relais")),Regeln!$E$30,""))</f>
        <v/>
      </c>
      <c r="BI20" s="15" t="str">
        <f aca="false">IF($A20="","",IF($AG20=0,"Kein Vorhaben",CHOOSE(MAX(AI20:BH20)+1,"Weiterverwendbar","Nachrüsten","Austausch")))</f>
        <v/>
      </c>
      <c r="BJ20" s="16" t="str">
        <f aca="false">IF($A20="","",_xlfn.TEXTJOIN(", ",TRUE(),IF(AI20&lt;&gt;"",AI$3,""),IF(AJ20&lt;&gt;"",AJ$3,""),IF(AK20&lt;&gt;"",AK$3,""),IF(AL20&lt;&gt;"",AL$3,""),IF(AM20&lt;&gt;"",AM$3,""),IF(AN20&lt;&gt;"",AN$3,""),IF(AO20&lt;&gt;"",AO$3,""),IF(AP20&lt;&gt;"",AP$3,""),IF(AQ20&lt;&gt;"",AQ$3,""),IF(AR20&lt;&gt;"",AR$3,""),IF(AS20&lt;&gt;"",AS$3,""),IF(AT20&lt;&gt;"",AT$3,""),IF(AU20&lt;&gt;"",AU$3,""),IF(AV20&lt;&gt;"",AV$3,""),IF(AW20&lt;&gt;"",AW$3,""),IF(AX20&lt;&gt;"",AX$3,""),IF(AY20&lt;&gt;"",AY$3,""),IF(AZ20&lt;&gt;"",AZ$3,""),IF(BA20&lt;&gt;"",BA$3,""),IF(BB20&lt;&gt;"",BB$3,""),IF(BC20&lt;&gt;"",BC$3,""),IF(BD20&lt;&gt;"",BD$3,""),IF(BE20&lt;&gt;"",BE$3,""),IF(BF20&lt;&gt;"",BF$3,""),IF(BG20&lt;&gt;"",BG$3,""),IF(BH20&lt;&gt;"",BH$3,"")))</f>
        <v/>
      </c>
      <c r="BK20" s="15" t="str">
        <f aca="false">IF(OR($A20="",$AE20=""),"",IF(BI20=$AE20,"Ja","Nein"))</f>
        <v/>
      </c>
      <c r="BL20" s="16" t="str">
        <f aca="false">IF($A20="","",IF(NOT(ISNUMBER(SEARCH("westnetz",$D20))),"–",IF($I20="Ja",IF($K20="Modul 2","MK 8 (Kaskade: Z1 SteuVE, Z2 Haushalt)","MK 2 (Überschuss)"),IF($K20="Modul 2","MK 0 + eigener Zählpunkt SteuVE","MK 0"))))</f>
        <v/>
      </c>
    </row>
    <row r="21" customFormat="false" ht="1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4" t="str">
        <f aca="false">IF($A21="","",COUNTIF($E21:$I21,"Ja"))</f>
        <v/>
      </c>
      <c r="AH21" s="14" t="str">
        <f aca="false">IF($A21="","",IF(AND(COUNTIF($E21:$H21,"Ja")&gt;0,N($J21)&gt;=4.2),"Ja","Nein"))</f>
        <v/>
      </c>
      <c r="AI21" s="14" t="str">
        <f aca="false">IF($A21="","",IF(AND(OR($L21="DIN 43853 Zählertafel ohne Schutzklasse II",$L21="DIN 43853 Norm-Zählertafel (Schutzklasse II)",$L21="DIN 43870 Norm-Zählertafel mit Vorsicherung"),$AG21&gt;0),Regeln!$E$5,""))</f>
        <v/>
      </c>
      <c r="AJ21" s="14" t="str">
        <f aca="false">IF($A21="","",IF(AND(OR($L21="DIN 43870 Zählerschrank, Trennvorrichtung im AAR",$L21="DIN 43870 Zählerschrank, NH-Sicherung im NAR"),OR($AA21="unter 10 mm² oder starr",$AA21="Unbekannt",$AA21=""),$AG21&gt;0),Regeln!$E$6,""))</f>
        <v/>
      </c>
      <c r="AK21" s="14" t="str">
        <f aca="false">IF($A21="","",IF(AND($V21="Nein",$AG21&gt;0),Regeln!$E$7,""))</f>
        <v/>
      </c>
      <c r="AL21" s="14" t="str">
        <f aca="false">IF($A21="","",IF(AND(OR($AH21="Ja",$I21="Ja"),$O21="Nein"),Regeln!$E$8,""))</f>
        <v/>
      </c>
      <c r="AM21" s="14" t="str">
        <f aca="false">IF($A21="","",IF(AND($K21="Modul 2",N($N21)&lt;1),Regeln!$E$9,""))</f>
        <v/>
      </c>
      <c r="AN21" s="14" t="str">
        <f aca="false">IF($A21="","",IF(AND($P21="Nein",$AG21&gt;0,OR(ISNUMBER(SEARCH("westnetz",$D21)),$M21="3-Punkt")),Regeln!$E$10,""))</f>
        <v/>
      </c>
      <c r="AO21" s="14" t="str">
        <f aca="false">IF($A21="","",IF(AND($Q21="Nein",$AG21&gt;0),Regeln!$E$11,""))</f>
        <v/>
      </c>
      <c r="AP21" s="14" t="str">
        <f aca="false">IF($A21="","",IF(AND($R21="1-phasig",OR(N($J21)&gt;4.6,$I21="Ja")),Regeln!$E$12,""))</f>
        <v/>
      </c>
      <c r="AQ21" s="14" t="str">
        <f aca="false">IF($A21="","",IF(OR($U21="Nein",$U21="Unbekannt"),Regeln!$E$13,""))</f>
        <v/>
      </c>
      <c r="AR21" s="14" t="str">
        <f aca="false">IF($A21="","",IF(OR($S21="TN-C",$S21="Unbekannt"),Regeln!$E$14,""))</f>
        <v/>
      </c>
      <c r="AS21" s="14" t="str">
        <f aca="false">IF($A21="","",IF(AND(N($T21)&gt;0,N($T21)&lt;50,$AG21&gt;=2),Regeln!$E$15,""))</f>
        <v/>
      </c>
      <c r="AT21" s="14" t="str">
        <f aca="false">IF($A21="","",IF(AND($E21="Ja",N($J21)&gt;12),Regeln!$E$16,""))</f>
        <v/>
      </c>
      <c r="AU21" s="14" t="str">
        <f aca="false">IF($A21="","",IF($L21="Unbekannt",Regeln!$E$17,""))</f>
        <v/>
      </c>
      <c r="AV21" s="14" t="str">
        <f aca="false">IF($A21="","",IF(AND(OR($L21="DIN 43870 Zählerschrank, Trennvorrichtung im AAR",$L21="DIN 43870 Zählerschrank, NH-Sicherung im NAR"),$AG21&gt;0),Regeln!$E$18,""))</f>
        <v/>
      </c>
      <c r="AW21" s="14" t="str">
        <f aca="false">IF($A21="","",IF(AND(ISNUMBER(SEARCH("westnetz",$D21)),OR($AH21="Ja",$I21="Ja"),$X21="Nein"),Regeln!$E$19,""))</f>
        <v/>
      </c>
      <c r="AX21" s="14" t="str">
        <f aca="false">IF($A21="","",IF(AND(ISNUMBER(SEARCH("westnetz",$D21)),OR($W21="Relais (potentialfrei)",$W21="Digital + Relais",AND($I21="Ja",N($AC21)&gt;=25)),$Y21="Nein"),Regeln!$E$20,""))</f>
        <v/>
      </c>
      <c r="AY21" s="14" t="str">
        <f aca="false">IF($A21="","",IF(AND(ISNUMBER(SEARCH("westnetz",$D21)),OR($W21="Digital (RJ45 / EEBUS)",$W21="Digital + Relais"),$Z21="Nein"),Regeln!$E$21,""))</f>
        <v/>
      </c>
      <c r="AZ21" s="14" t="str">
        <f aca="false">IF($A21="","",IF(AND(ISNUMBER(SEARCH("westnetz",$D21)),N($AB21)&gt;30),Regeln!$E$22,""))</f>
        <v/>
      </c>
      <c r="BA21" s="14" t="str">
        <f aca="false">IF($A21="","",IF(AND($AA21="10 mm² flexibel",N($AB21)*1000/(SQRT(3)*400)&gt;32),Regeln!$E$23,""))</f>
        <v/>
      </c>
      <c r="BB21" s="14" t="str">
        <f aca="false">IF($A21="","",IF(AND(ISNUMBER(SEARCH("westnetz",$D21)),$I21="Ja",N($AC21)&gt;=25),Regeln!$E$24,""))</f>
        <v/>
      </c>
      <c r="BC21" s="14" t="str">
        <f aca="false">IF($A21="","",IF(AND(ISNUMBER(SEARCH("westnetz",$D21)),$I21="Ja",OR($AH21="Ja",N($AC21)&gt;7)),Regeln!$E$25,""))</f>
        <v/>
      </c>
      <c r="BD21" s="14" t="str">
        <f aca="false">IF($A21="","",IF(AND(ISNUMBER(SEARCH("westnetz",$D21)),$AH21="Ja"),Regeln!$E$26,""))</f>
        <v/>
      </c>
      <c r="BE21" s="14" t="str">
        <f aca="false">IF($A21="","",IF(AND(ISNUMBER(SEARCH("westnetz",$D21)),OR($W21="Relais (potentialfrei)",$W21="Digital + Relais"),$M21="3-Punkt",$AD21="Nein"),Regeln!$E$27,""))</f>
        <v/>
      </c>
      <c r="BF21" s="14" t="str">
        <f aca="false">IF($A21="","",IF(AND(ISNUMBER(SEARCH("westnetz",$D21)),$I21="Ja"),Regeln!$E$28,""))</f>
        <v/>
      </c>
      <c r="BG21" s="14" t="str">
        <f aca="false">IF($A21="","",IF(AND(ISNUMBER(SEARCH("westnetz",$D21)),$H21="Ja"),Regeln!$E$29,""))</f>
        <v/>
      </c>
      <c r="BH21" s="14" t="str">
        <f aca="false">IF($A21="","",IF(AND(ISNUMBER(SEARCH("westnetz",$D21)),OR($W21="Relais (potentialfrei)",$W21="Digital + Relais")),Regeln!$E$30,""))</f>
        <v/>
      </c>
      <c r="BI21" s="15" t="str">
        <f aca="false">IF($A21="","",IF($AG21=0,"Kein Vorhaben",CHOOSE(MAX(AI21:BH21)+1,"Weiterverwendbar","Nachrüsten","Austausch")))</f>
        <v/>
      </c>
      <c r="BJ21" s="16" t="str">
        <f aca="false">IF($A21="","",_xlfn.TEXTJOIN(", ",TRUE(),IF(AI21&lt;&gt;"",AI$3,""),IF(AJ21&lt;&gt;"",AJ$3,""),IF(AK21&lt;&gt;"",AK$3,""),IF(AL21&lt;&gt;"",AL$3,""),IF(AM21&lt;&gt;"",AM$3,""),IF(AN21&lt;&gt;"",AN$3,""),IF(AO21&lt;&gt;"",AO$3,""),IF(AP21&lt;&gt;"",AP$3,""),IF(AQ21&lt;&gt;"",AQ$3,""),IF(AR21&lt;&gt;"",AR$3,""),IF(AS21&lt;&gt;"",AS$3,""),IF(AT21&lt;&gt;"",AT$3,""),IF(AU21&lt;&gt;"",AU$3,""),IF(AV21&lt;&gt;"",AV$3,""),IF(AW21&lt;&gt;"",AW$3,""),IF(AX21&lt;&gt;"",AX$3,""),IF(AY21&lt;&gt;"",AY$3,""),IF(AZ21&lt;&gt;"",AZ$3,""),IF(BA21&lt;&gt;"",BA$3,""),IF(BB21&lt;&gt;"",BB$3,""),IF(BC21&lt;&gt;"",BC$3,""),IF(BD21&lt;&gt;"",BD$3,""),IF(BE21&lt;&gt;"",BE$3,""),IF(BF21&lt;&gt;"",BF$3,""),IF(BG21&lt;&gt;"",BG$3,""),IF(BH21&lt;&gt;"",BH$3,"")))</f>
        <v/>
      </c>
      <c r="BK21" s="15" t="str">
        <f aca="false">IF(OR($A21="",$AE21=""),"",IF(BI21=$AE21,"Ja","Nein"))</f>
        <v/>
      </c>
      <c r="BL21" s="16" t="str">
        <f aca="false">IF($A21="","",IF(NOT(ISNUMBER(SEARCH("westnetz",$D21))),"–",IF($I21="Ja",IF($K21="Modul 2","MK 8 (Kaskade: Z1 SteuVE, Z2 Haushalt)","MK 2 (Überschuss)"),IF($K21="Modul 2","MK 0 + eigener Zählpunkt SteuVE","MK 0"))))</f>
        <v/>
      </c>
    </row>
    <row r="22" customFormat="false" ht="1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9"/>
      <c r="AG22" s="14" t="str">
        <f aca="false">IF($A22="","",COUNTIF($E22:$I22,"Ja"))</f>
        <v/>
      </c>
      <c r="AH22" s="14" t="str">
        <f aca="false">IF($A22="","",IF(AND(COUNTIF($E22:$H22,"Ja")&gt;0,N($J22)&gt;=4.2),"Ja","Nein"))</f>
        <v/>
      </c>
      <c r="AI22" s="14" t="str">
        <f aca="false">IF($A22="","",IF(AND(OR($L22="DIN 43853 Zählertafel ohne Schutzklasse II",$L22="DIN 43853 Norm-Zählertafel (Schutzklasse II)",$L22="DIN 43870 Norm-Zählertafel mit Vorsicherung"),$AG22&gt;0),Regeln!$E$5,""))</f>
        <v/>
      </c>
      <c r="AJ22" s="14" t="str">
        <f aca="false">IF($A22="","",IF(AND(OR($L22="DIN 43870 Zählerschrank, Trennvorrichtung im AAR",$L22="DIN 43870 Zählerschrank, NH-Sicherung im NAR"),OR($AA22="unter 10 mm² oder starr",$AA22="Unbekannt",$AA22=""),$AG22&gt;0),Regeln!$E$6,""))</f>
        <v/>
      </c>
      <c r="AK22" s="14" t="str">
        <f aca="false">IF($A22="","",IF(AND($V22="Nein",$AG22&gt;0),Regeln!$E$7,""))</f>
        <v/>
      </c>
      <c r="AL22" s="14" t="str">
        <f aca="false">IF($A22="","",IF(AND(OR($AH22="Ja",$I22="Ja"),$O22="Nein"),Regeln!$E$8,""))</f>
        <v/>
      </c>
      <c r="AM22" s="14" t="str">
        <f aca="false">IF($A22="","",IF(AND($K22="Modul 2",N($N22)&lt;1),Regeln!$E$9,""))</f>
        <v/>
      </c>
      <c r="AN22" s="14" t="str">
        <f aca="false">IF($A22="","",IF(AND($P22="Nein",$AG22&gt;0,OR(ISNUMBER(SEARCH("westnetz",$D22)),$M22="3-Punkt")),Regeln!$E$10,""))</f>
        <v/>
      </c>
      <c r="AO22" s="14" t="str">
        <f aca="false">IF($A22="","",IF(AND($Q22="Nein",$AG22&gt;0),Regeln!$E$11,""))</f>
        <v/>
      </c>
      <c r="AP22" s="14" t="str">
        <f aca="false">IF($A22="","",IF(AND($R22="1-phasig",OR(N($J22)&gt;4.6,$I22="Ja")),Regeln!$E$12,""))</f>
        <v/>
      </c>
      <c r="AQ22" s="14" t="str">
        <f aca="false">IF($A22="","",IF(OR($U22="Nein",$U22="Unbekannt"),Regeln!$E$13,""))</f>
        <v/>
      </c>
      <c r="AR22" s="14" t="str">
        <f aca="false">IF($A22="","",IF(OR($S22="TN-C",$S22="Unbekannt"),Regeln!$E$14,""))</f>
        <v/>
      </c>
      <c r="AS22" s="14" t="str">
        <f aca="false">IF($A22="","",IF(AND(N($T22)&gt;0,N($T22)&lt;50,$AG22&gt;=2),Regeln!$E$15,""))</f>
        <v/>
      </c>
      <c r="AT22" s="14" t="str">
        <f aca="false">IF($A22="","",IF(AND($E22="Ja",N($J22)&gt;12),Regeln!$E$16,""))</f>
        <v/>
      </c>
      <c r="AU22" s="14" t="str">
        <f aca="false">IF($A22="","",IF($L22="Unbekannt",Regeln!$E$17,""))</f>
        <v/>
      </c>
      <c r="AV22" s="14" t="str">
        <f aca="false">IF($A22="","",IF(AND(OR($L22="DIN 43870 Zählerschrank, Trennvorrichtung im AAR",$L22="DIN 43870 Zählerschrank, NH-Sicherung im NAR"),$AG22&gt;0),Regeln!$E$18,""))</f>
        <v/>
      </c>
      <c r="AW22" s="14" t="str">
        <f aca="false">IF($A22="","",IF(AND(ISNUMBER(SEARCH("westnetz",$D22)),OR($AH22="Ja",$I22="Ja"),$X22="Nein"),Regeln!$E$19,""))</f>
        <v/>
      </c>
      <c r="AX22" s="14" t="str">
        <f aca="false">IF($A22="","",IF(AND(ISNUMBER(SEARCH("westnetz",$D22)),OR($W22="Relais (potentialfrei)",$W22="Digital + Relais",AND($I22="Ja",N($AC22)&gt;=25)),$Y22="Nein"),Regeln!$E$20,""))</f>
        <v/>
      </c>
      <c r="AY22" s="14" t="str">
        <f aca="false">IF($A22="","",IF(AND(ISNUMBER(SEARCH("westnetz",$D22)),OR($W22="Digital (RJ45 / EEBUS)",$W22="Digital + Relais"),$Z22="Nein"),Regeln!$E$21,""))</f>
        <v/>
      </c>
      <c r="AZ22" s="14" t="str">
        <f aca="false">IF($A22="","",IF(AND(ISNUMBER(SEARCH("westnetz",$D22)),N($AB22)&gt;30),Regeln!$E$22,""))</f>
        <v/>
      </c>
      <c r="BA22" s="14" t="str">
        <f aca="false">IF($A22="","",IF(AND($AA22="10 mm² flexibel",N($AB22)*1000/(SQRT(3)*400)&gt;32),Regeln!$E$23,""))</f>
        <v/>
      </c>
      <c r="BB22" s="14" t="str">
        <f aca="false">IF($A22="","",IF(AND(ISNUMBER(SEARCH("westnetz",$D22)),$I22="Ja",N($AC22)&gt;=25),Regeln!$E$24,""))</f>
        <v/>
      </c>
      <c r="BC22" s="14" t="str">
        <f aca="false">IF($A22="","",IF(AND(ISNUMBER(SEARCH("westnetz",$D22)),$I22="Ja",OR($AH22="Ja",N($AC22)&gt;7)),Regeln!$E$25,""))</f>
        <v/>
      </c>
      <c r="BD22" s="14" t="str">
        <f aca="false">IF($A22="","",IF(AND(ISNUMBER(SEARCH("westnetz",$D22)),$AH22="Ja"),Regeln!$E$26,""))</f>
        <v/>
      </c>
      <c r="BE22" s="14" t="str">
        <f aca="false">IF($A22="","",IF(AND(ISNUMBER(SEARCH("westnetz",$D22)),OR($W22="Relais (potentialfrei)",$W22="Digital + Relais"),$M22="3-Punkt",$AD22="Nein"),Regeln!$E$27,""))</f>
        <v/>
      </c>
      <c r="BF22" s="14" t="str">
        <f aca="false">IF($A22="","",IF(AND(ISNUMBER(SEARCH("westnetz",$D22)),$I22="Ja"),Regeln!$E$28,""))</f>
        <v/>
      </c>
      <c r="BG22" s="14" t="str">
        <f aca="false">IF($A22="","",IF(AND(ISNUMBER(SEARCH("westnetz",$D22)),$H22="Ja"),Regeln!$E$29,""))</f>
        <v/>
      </c>
      <c r="BH22" s="14" t="str">
        <f aca="false">IF($A22="","",IF(AND(ISNUMBER(SEARCH("westnetz",$D22)),OR($W22="Relais (potentialfrei)",$W22="Digital + Relais")),Regeln!$E$30,""))</f>
        <v/>
      </c>
      <c r="BI22" s="15" t="str">
        <f aca="false">IF($A22="","",IF($AG22=0,"Kein Vorhaben",CHOOSE(MAX(AI22:BH22)+1,"Weiterverwendbar","Nachrüsten","Austausch")))</f>
        <v/>
      </c>
      <c r="BJ22" s="16" t="str">
        <f aca="false">IF($A22="","",_xlfn.TEXTJOIN(", ",TRUE(),IF(AI22&lt;&gt;"",AI$3,""),IF(AJ22&lt;&gt;"",AJ$3,""),IF(AK22&lt;&gt;"",AK$3,""),IF(AL22&lt;&gt;"",AL$3,""),IF(AM22&lt;&gt;"",AM$3,""),IF(AN22&lt;&gt;"",AN$3,""),IF(AO22&lt;&gt;"",AO$3,""),IF(AP22&lt;&gt;"",AP$3,""),IF(AQ22&lt;&gt;"",AQ$3,""),IF(AR22&lt;&gt;"",AR$3,""),IF(AS22&lt;&gt;"",AS$3,""),IF(AT22&lt;&gt;"",AT$3,""),IF(AU22&lt;&gt;"",AU$3,""),IF(AV22&lt;&gt;"",AV$3,""),IF(AW22&lt;&gt;"",AW$3,""),IF(AX22&lt;&gt;"",AX$3,""),IF(AY22&lt;&gt;"",AY$3,""),IF(AZ22&lt;&gt;"",AZ$3,""),IF(BA22&lt;&gt;"",BA$3,""),IF(BB22&lt;&gt;"",BB$3,""),IF(BC22&lt;&gt;"",BC$3,""),IF(BD22&lt;&gt;"",BD$3,""),IF(BE22&lt;&gt;"",BE$3,""),IF(BF22&lt;&gt;"",BF$3,""),IF(BG22&lt;&gt;"",BG$3,""),IF(BH22&lt;&gt;"",BH$3,"")))</f>
        <v/>
      </c>
      <c r="BK22" s="15" t="str">
        <f aca="false">IF(OR($A22="",$AE22=""),"",IF(BI22=$AE22,"Ja","Nein"))</f>
        <v/>
      </c>
      <c r="BL22" s="16" t="str">
        <f aca="false">IF($A22="","",IF(NOT(ISNUMBER(SEARCH("westnetz",$D22))),"–",IF($I22="Ja",IF($K22="Modul 2","MK 8 (Kaskade: Z1 SteuVE, Z2 Haushalt)","MK 2 (Überschuss)"),IF($K22="Modul 2","MK 0 + eigener Zählpunkt SteuVE","MK 0"))))</f>
        <v/>
      </c>
    </row>
    <row r="23" customFormat="false" ht="1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9"/>
      <c r="AG23" s="14" t="str">
        <f aca="false">IF($A23="","",COUNTIF($E23:$I23,"Ja"))</f>
        <v/>
      </c>
      <c r="AH23" s="14" t="str">
        <f aca="false">IF($A23="","",IF(AND(COUNTIF($E23:$H23,"Ja")&gt;0,N($J23)&gt;=4.2),"Ja","Nein"))</f>
        <v/>
      </c>
      <c r="AI23" s="14" t="str">
        <f aca="false">IF($A23="","",IF(AND(OR($L23="DIN 43853 Zählertafel ohne Schutzklasse II",$L23="DIN 43853 Norm-Zählertafel (Schutzklasse II)",$L23="DIN 43870 Norm-Zählertafel mit Vorsicherung"),$AG23&gt;0),Regeln!$E$5,""))</f>
        <v/>
      </c>
      <c r="AJ23" s="14" t="str">
        <f aca="false">IF($A23="","",IF(AND(OR($L23="DIN 43870 Zählerschrank, Trennvorrichtung im AAR",$L23="DIN 43870 Zählerschrank, NH-Sicherung im NAR"),OR($AA23="unter 10 mm² oder starr",$AA23="Unbekannt",$AA23=""),$AG23&gt;0),Regeln!$E$6,""))</f>
        <v/>
      </c>
      <c r="AK23" s="14" t="str">
        <f aca="false">IF($A23="","",IF(AND($V23="Nein",$AG23&gt;0),Regeln!$E$7,""))</f>
        <v/>
      </c>
      <c r="AL23" s="14" t="str">
        <f aca="false">IF($A23="","",IF(AND(OR($AH23="Ja",$I23="Ja"),$O23="Nein"),Regeln!$E$8,""))</f>
        <v/>
      </c>
      <c r="AM23" s="14" t="str">
        <f aca="false">IF($A23="","",IF(AND($K23="Modul 2",N($N23)&lt;1),Regeln!$E$9,""))</f>
        <v/>
      </c>
      <c r="AN23" s="14" t="str">
        <f aca="false">IF($A23="","",IF(AND($P23="Nein",$AG23&gt;0,OR(ISNUMBER(SEARCH("westnetz",$D23)),$M23="3-Punkt")),Regeln!$E$10,""))</f>
        <v/>
      </c>
      <c r="AO23" s="14" t="str">
        <f aca="false">IF($A23="","",IF(AND($Q23="Nein",$AG23&gt;0),Regeln!$E$11,""))</f>
        <v/>
      </c>
      <c r="AP23" s="14" t="str">
        <f aca="false">IF($A23="","",IF(AND($R23="1-phasig",OR(N($J23)&gt;4.6,$I23="Ja")),Regeln!$E$12,""))</f>
        <v/>
      </c>
      <c r="AQ23" s="14" t="str">
        <f aca="false">IF($A23="","",IF(OR($U23="Nein",$U23="Unbekannt"),Regeln!$E$13,""))</f>
        <v/>
      </c>
      <c r="AR23" s="14" t="str">
        <f aca="false">IF($A23="","",IF(OR($S23="TN-C",$S23="Unbekannt"),Regeln!$E$14,""))</f>
        <v/>
      </c>
      <c r="AS23" s="14" t="str">
        <f aca="false">IF($A23="","",IF(AND(N($T23)&gt;0,N($T23)&lt;50,$AG23&gt;=2),Regeln!$E$15,""))</f>
        <v/>
      </c>
      <c r="AT23" s="14" t="str">
        <f aca="false">IF($A23="","",IF(AND($E23="Ja",N($J23)&gt;12),Regeln!$E$16,""))</f>
        <v/>
      </c>
      <c r="AU23" s="14" t="str">
        <f aca="false">IF($A23="","",IF($L23="Unbekannt",Regeln!$E$17,""))</f>
        <v/>
      </c>
      <c r="AV23" s="14" t="str">
        <f aca="false">IF($A23="","",IF(AND(OR($L23="DIN 43870 Zählerschrank, Trennvorrichtung im AAR",$L23="DIN 43870 Zählerschrank, NH-Sicherung im NAR"),$AG23&gt;0),Regeln!$E$18,""))</f>
        <v/>
      </c>
      <c r="AW23" s="14" t="str">
        <f aca="false">IF($A23="","",IF(AND(ISNUMBER(SEARCH("westnetz",$D23)),OR($AH23="Ja",$I23="Ja"),$X23="Nein"),Regeln!$E$19,""))</f>
        <v/>
      </c>
      <c r="AX23" s="14" t="str">
        <f aca="false">IF($A23="","",IF(AND(ISNUMBER(SEARCH("westnetz",$D23)),OR($W23="Relais (potentialfrei)",$W23="Digital + Relais",AND($I23="Ja",N($AC23)&gt;=25)),$Y23="Nein"),Regeln!$E$20,""))</f>
        <v/>
      </c>
      <c r="AY23" s="14" t="str">
        <f aca="false">IF($A23="","",IF(AND(ISNUMBER(SEARCH("westnetz",$D23)),OR($W23="Digital (RJ45 / EEBUS)",$W23="Digital + Relais"),$Z23="Nein"),Regeln!$E$21,""))</f>
        <v/>
      </c>
      <c r="AZ23" s="14" t="str">
        <f aca="false">IF($A23="","",IF(AND(ISNUMBER(SEARCH("westnetz",$D23)),N($AB23)&gt;30),Regeln!$E$22,""))</f>
        <v/>
      </c>
      <c r="BA23" s="14" t="str">
        <f aca="false">IF($A23="","",IF(AND($AA23="10 mm² flexibel",N($AB23)*1000/(SQRT(3)*400)&gt;32),Regeln!$E$23,""))</f>
        <v/>
      </c>
      <c r="BB23" s="14" t="str">
        <f aca="false">IF($A23="","",IF(AND(ISNUMBER(SEARCH("westnetz",$D23)),$I23="Ja",N($AC23)&gt;=25),Regeln!$E$24,""))</f>
        <v/>
      </c>
      <c r="BC23" s="14" t="str">
        <f aca="false">IF($A23="","",IF(AND(ISNUMBER(SEARCH("westnetz",$D23)),$I23="Ja",OR($AH23="Ja",N($AC23)&gt;7)),Regeln!$E$25,""))</f>
        <v/>
      </c>
      <c r="BD23" s="14" t="str">
        <f aca="false">IF($A23="","",IF(AND(ISNUMBER(SEARCH("westnetz",$D23)),$AH23="Ja"),Regeln!$E$26,""))</f>
        <v/>
      </c>
      <c r="BE23" s="14" t="str">
        <f aca="false">IF($A23="","",IF(AND(ISNUMBER(SEARCH("westnetz",$D23)),OR($W23="Relais (potentialfrei)",$W23="Digital + Relais"),$M23="3-Punkt",$AD23="Nein"),Regeln!$E$27,""))</f>
        <v/>
      </c>
      <c r="BF23" s="14" t="str">
        <f aca="false">IF($A23="","",IF(AND(ISNUMBER(SEARCH("westnetz",$D23)),$I23="Ja"),Regeln!$E$28,""))</f>
        <v/>
      </c>
      <c r="BG23" s="14" t="str">
        <f aca="false">IF($A23="","",IF(AND(ISNUMBER(SEARCH("westnetz",$D23)),$H23="Ja"),Regeln!$E$29,""))</f>
        <v/>
      </c>
      <c r="BH23" s="14" t="str">
        <f aca="false">IF($A23="","",IF(AND(ISNUMBER(SEARCH("westnetz",$D23)),OR($W23="Relais (potentialfrei)",$W23="Digital + Relais")),Regeln!$E$30,""))</f>
        <v/>
      </c>
      <c r="BI23" s="15" t="str">
        <f aca="false">IF($A23="","",IF($AG23=0,"Kein Vorhaben",CHOOSE(MAX(AI23:BH23)+1,"Weiterverwendbar","Nachrüsten","Austausch")))</f>
        <v/>
      </c>
      <c r="BJ23" s="16" t="str">
        <f aca="false">IF($A23="","",_xlfn.TEXTJOIN(", ",TRUE(),IF(AI23&lt;&gt;"",AI$3,""),IF(AJ23&lt;&gt;"",AJ$3,""),IF(AK23&lt;&gt;"",AK$3,""),IF(AL23&lt;&gt;"",AL$3,""),IF(AM23&lt;&gt;"",AM$3,""),IF(AN23&lt;&gt;"",AN$3,""),IF(AO23&lt;&gt;"",AO$3,""),IF(AP23&lt;&gt;"",AP$3,""),IF(AQ23&lt;&gt;"",AQ$3,""),IF(AR23&lt;&gt;"",AR$3,""),IF(AS23&lt;&gt;"",AS$3,""),IF(AT23&lt;&gt;"",AT$3,""),IF(AU23&lt;&gt;"",AU$3,""),IF(AV23&lt;&gt;"",AV$3,""),IF(AW23&lt;&gt;"",AW$3,""),IF(AX23&lt;&gt;"",AX$3,""),IF(AY23&lt;&gt;"",AY$3,""),IF(AZ23&lt;&gt;"",AZ$3,""),IF(BA23&lt;&gt;"",BA$3,""),IF(BB23&lt;&gt;"",BB$3,""),IF(BC23&lt;&gt;"",BC$3,""),IF(BD23&lt;&gt;"",BD$3,""),IF(BE23&lt;&gt;"",BE$3,""),IF(BF23&lt;&gt;"",BF$3,""),IF(BG23&lt;&gt;"",BG$3,""),IF(BH23&lt;&gt;"",BH$3,"")))</f>
        <v/>
      </c>
      <c r="BK23" s="15" t="str">
        <f aca="false">IF(OR($A23="",$AE23=""),"",IF(BI23=$AE23,"Ja","Nein"))</f>
        <v/>
      </c>
      <c r="BL23" s="16" t="str">
        <f aca="false">IF($A23="","",IF(NOT(ISNUMBER(SEARCH("westnetz",$D23))),"–",IF($I23="Ja",IF($K23="Modul 2","MK 8 (Kaskade: Z1 SteuVE, Z2 Haushalt)","MK 2 (Überschuss)"),IF($K23="Modul 2","MK 0 + eigener Zählpunkt SteuVE","MK 0"))))</f>
        <v/>
      </c>
    </row>
    <row r="24" customFormat="false" ht="1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9"/>
      <c r="AG24" s="14" t="str">
        <f aca="false">IF($A24="","",COUNTIF($E24:$I24,"Ja"))</f>
        <v/>
      </c>
      <c r="AH24" s="14" t="str">
        <f aca="false">IF($A24="","",IF(AND(COUNTIF($E24:$H24,"Ja")&gt;0,N($J24)&gt;=4.2),"Ja","Nein"))</f>
        <v/>
      </c>
      <c r="AI24" s="14" t="str">
        <f aca="false">IF($A24="","",IF(AND(OR($L24="DIN 43853 Zählertafel ohne Schutzklasse II",$L24="DIN 43853 Norm-Zählertafel (Schutzklasse II)",$L24="DIN 43870 Norm-Zählertafel mit Vorsicherung"),$AG24&gt;0),Regeln!$E$5,""))</f>
        <v/>
      </c>
      <c r="AJ24" s="14" t="str">
        <f aca="false">IF($A24="","",IF(AND(OR($L24="DIN 43870 Zählerschrank, Trennvorrichtung im AAR",$L24="DIN 43870 Zählerschrank, NH-Sicherung im NAR"),OR($AA24="unter 10 mm² oder starr",$AA24="Unbekannt",$AA24=""),$AG24&gt;0),Regeln!$E$6,""))</f>
        <v/>
      </c>
      <c r="AK24" s="14" t="str">
        <f aca="false">IF($A24="","",IF(AND($V24="Nein",$AG24&gt;0),Regeln!$E$7,""))</f>
        <v/>
      </c>
      <c r="AL24" s="14" t="str">
        <f aca="false">IF($A24="","",IF(AND(OR($AH24="Ja",$I24="Ja"),$O24="Nein"),Regeln!$E$8,""))</f>
        <v/>
      </c>
      <c r="AM24" s="14" t="str">
        <f aca="false">IF($A24="","",IF(AND($K24="Modul 2",N($N24)&lt;1),Regeln!$E$9,""))</f>
        <v/>
      </c>
      <c r="AN24" s="14" t="str">
        <f aca="false">IF($A24="","",IF(AND($P24="Nein",$AG24&gt;0,OR(ISNUMBER(SEARCH("westnetz",$D24)),$M24="3-Punkt")),Regeln!$E$10,""))</f>
        <v/>
      </c>
      <c r="AO24" s="14" t="str">
        <f aca="false">IF($A24="","",IF(AND($Q24="Nein",$AG24&gt;0),Regeln!$E$11,""))</f>
        <v/>
      </c>
      <c r="AP24" s="14" t="str">
        <f aca="false">IF($A24="","",IF(AND($R24="1-phasig",OR(N($J24)&gt;4.6,$I24="Ja")),Regeln!$E$12,""))</f>
        <v/>
      </c>
      <c r="AQ24" s="14" t="str">
        <f aca="false">IF($A24="","",IF(OR($U24="Nein",$U24="Unbekannt"),Regeln!$E$13,""))</f>
        <v/>
      </c>
      <c r="AR24" s="14" t="str">
        <f aca="false">IF($A24="","",IF(OR($S24="TN-C",$S24="Unbekannt"),Regeln!$E$14,""))</f>
        <v/>
      </c>
      <c r="AS24" s="14" t="str">
        <f aca="false">IF($A24="","",IF(AND(N($T24)&gt;0,N($T24)&lt;50,$AG24&gt;=2),Regeln!$E$15,""))</f>
        <v/>
      </c>
      <c r="AT24" s="14" t="str">
        <f aca="false">IF($A24="","",IF(AND($E24="Ja",N($J24)&gt;12),Regeln!$E$16,""))</f>
        <v/>
      </c>
      <c r="AU24" s="14" t="str">
        <f aca="false">IF($A24="","",IF($L24="Unbekannt",Regeln!$E$17,""))</f>
        <v/>
      </c>
      <c r="AV24" s="14" t="str">
        <f aca="false">IF($A24="","",IF(AND(OR($L24="DIN 43870 Zählerschrank, Trennvorrichtung im AAR",$L24="DIN 43870 Zählerschrank, NH-Sicherung im NAR"),$AG24&gt;0),Regeln!$E$18,""))</f>
        <v/>
      </c>
      <c r="AW24" s="14" t="str">
        <f aca="false">IF($A24="","",IF(AND(ISNUMBER(SEARCH("westnetz",$D24)),OR($AH24="Ja",$I24="Ja"),$X24="Nein"),Regeln!$E$19,""))</f>
        <v/>
      </c>
      <c r="AX24" s="14" t="str">
        <f aca="false">IF($A24="","",IF(AND(ISNUMBER(SEARCH("westnetz",$D24)),OR($W24="Relais (potentialfrei)",$W24="Digital + Relais",AND($I24="Ja",N($AC24)&gt;=25)),$Y24="Nein"),Regeln!$E$20,""))</f>
        <v/>
      </c>
      <c r="AY24" s="14" t="str">
        <f aca="false">IF($A24="","",IF(AND(ISNUMBER(SEARCH("westnetz",$D24)),OR($W24="Digital (RJ45 / EEBUS)",$W24="Digital + Relais"),$Z24="Nein"),Regeln!$E$21,""))</f>
        <v/>
      </c>
      <c r="AZ24" s="14" t="str">
        <f aca="false">IF($A24="","",IF(AND(ISNUMBER(SEARCH("westnetz",$D24)),N($AB24)&gt;30),Regeln!$E$22,""))</f>
        <v/>
      </c>
      <c r="BA24" s="14" t="str">
        <f aca="false">IF($A24="","",IF(AND($AA24="10 mm² flexibel",N($AB24)*1000/(SQRT(3)*400)&gt;32),Regeln!$E$23,""))</f>
        <v/>
      </c>
      <c r="BB24" s="14" t="str">
        <f aca="false">IF($A24="","",IF(AND(ISNUMBER(SEARCH("westnetz",$D24)),$I24="Ja",N($AC24)&gt;=25),Regeln!$E$24,""))</f>
        <v/>
      </c>
      <c r="BC24" s="14" t="str">
        <f aca="false">IF($A24="","",IF(AND(ISNUMBER(SEARCH("westnetz",$D24)),$I24="Ja",OR($AH24="Ja",N($AC24)&gt;7)),Regeln!$E$25,""))</f>
        <v/>
      </c>
      <c r="BD24" s="14" t="str">
        <f aca="false">IF($A24="","",IF(AND(ISNUMBER(SEARCH("westnetz",$D24)),$AH24="Ja"),Regeln!$E$26,""))</f>
        <v/>
      </c>
      <c r="BE24" s="14" t="str">
        <f aca="false">IF($A24="","",IF(AND(ISNUMBER(SEARCH("westnetz",$D24)),OR($W24="Relais (potentialfrei)",$W24="Digital + Relais"),$M24="3-Punkt",$AD24="Nein"),Regeln!$E$27,""))</f>
        <v/>
      </c>
      <c r="BF24" s="14" t="str">
        <f aca="false">IF($A24="","",IF(AND(ISNUMBER(SEARCH("westnetz",$D24)),$I24="Ja"),Regeln!$E$28,""))</f>
        <v/>
      </c>
      <c r="BG24" s="14" t="str">
        <f aca="false">IF($A24="","",IF(AND(ISNUMBER(SEARCH("westnetz",$D24)),$H24="Ja"),Regeln!$E$29,""))</f>
        <v/>
      </c>
      <c r="BH24" s="14" t="str">
        <f aca="false">IF($A24="","",IF(AND(ISNUMBER(SEARCH("westnetz",$D24)),OR($W24="Relais (potentialfrei)",$W24="Digital + Relais")),Regeln!$E$30,""))</f>
        <v/>
      </c>
      <c r="BI24" s="15" t="str">
        <f aca="false">IF($A24="","",IF($AG24=0,"Kein Vorhaben",CHOOSE(MAX(AI24:BH24)+1,"Weiterverwendbar","Nachrüsten","Austausch")))</f>
        <v/>
      </c>
      <c r="BJ24" s="16" t="str">
        <f aca="false">IF($A24="","",_xlfn.TEXTJOIN(", ",TRUE(),IF(AI24&lt;&gt;"",AI$3,""),IF(AJ24&lt;&gt;"",AJ$3,""),IF(AK24&lt;&gt;"",AK$3,""),IF(AL24&lt;&gt;"",AL$3,""),IF(AM24&lt;&gt;"",AM$3,""),IF(AN24&lt;&gt;"",AN$3,""),IF(AO24&lt;&gt;"",AO$3,""),IF(AP24&lt;&gt;"",AP$3,""),IF(AQ24&lt;&gt;"",AQ$3,""),IF(AR24&lt;&gt;"",AR$3,""),IF(AS24&lt;&gt;"",AS$3,""),IF(AT24&lt;&gt;"",AT$3,""),IF(AU24&lt;&gt;"",AU$3,""),IF(AV24&lt;&gt;"",AV$3,""),IF(AW24&lt;&gt;"",AW$3,""),IF(AX24&lt;&gt;"",AX$3,""),IF(AY24&lt;&gt;"",AY$3,""),IF(AZ24&lt;&gt;"",AZ$3,""),IF(BA24&lt;&gt;"",BA$3,""),IF(BB24&lt;&gt;"",BB$3,""),IF(BC24&lt;&gt;"",BC$3,""),IF(BD24&lt;&gt;"",BD$3,""),IF(BE24&lt;&gt;"",BE$3,""),IF(BF24&lt;&gt;"",BF$3,""),IF(BG24&lt;&gt;"",BG$3,""),IF(BH24&lt;&gt;"",BH$3,"")))</f>
        <v/>
      </c>
      <c r="BK24" s="15" t="str">
        <f aca="false">IF(OR($A24="",$AE24=""),"",IF(BI24=$AE24,"Ja","Nein"))</f>
        <v/>
      </c>
      <c r="BL24" s="16" t="str">
        <f aca="false">IF($A24="","",IF(NOT(ISNUMBER(SEARCH("westnetz",$D24))),"–",IF($I24="Ja",IF($K24="Modul 2","MK 8 (Kaskade: Z1 SteuVE, Z2 Haushalt)","MK 2 (Überschuss)"),IF($K24="Modul 2","MK 0 + eigener Zählpunkt SteuVE","MK 0"))))</f>
        <v/>
      </c>
    </row>
    <row r="25" customFormat="false" ht="1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9"/>
      <c r="AG25" s="14" t="str">
        <f aca="false">IF($A25="","",COUNTIF($E25:$I25,"Ja"))</f>
        <v/>
      </c>
      <c r="AH25" s="14" t="str">
        <f aca="false">IF($A25="","",IF(AND(COUNTIF($E25:$H25,"Ja")&gt;0,N($J25)&gt;=4.2),"Ja","Nein"))</f>
        <v/>
      </c>
      <c r="AI25" s="14" t="str">
        <f aca="false">IF($A25="","",IF(AND(OR($L25="DIN 43853 Zählertafel ohne Schutzklasse II",$L25="DIN 43853 Norm-Zählertafel (Schutzklasse II)",$L25="DIN 43870 Norm-Zählertafel mit Vorsicherung"),$AG25&gt;0),Regeln!$E$5,""))</f>
        <v/>
      </c>
      <c r="AJ25" s="14" t="str">
        <f aca="false">IF($A25="","",IF(AND(OR($L25="DIN 43870 Zählerschrank, Trennvorrichtung im AAR",$L25="DIN 43870 Zählerschrank, NH-Sicherung im NAR"),OR($AA25="unter 10 mm² oder starr",$AA25="Unbekannt",$AA25=""),$AG25&gt;0),Regeln!$E$6,""))</f>
        <v/>
      </c>
      <c r="AK25" s="14" t="str">
        <f aca="false">IF($A25="","",IF(AND($V25="Nein",$AG25&gt;0),Regeln!$E$7,""))</f>
        <v/>
      </c>
      <c r="AL25" s="14" t="str">
        <f aca="false">IF($A25="","",IF(AND(OR($AH25="Ja",$I25="Ja"),$O25="Nein"),Regeln!$E$8,""))</f>
        <v/>
      </c>
      <c r="AM25" s="14" t="str">
        <f aca="false">IF($A25="","",IF(AND($K25="Modul 2",N($N25)&lt;1),Regeln!$E$9,""))</f>
        <v/>
      </c>
      <c r="AN25" s="14" t="str">
        <f aca="false">IF($A25="","",IF(AND($P25="Nein",$AG25&gt;0,OR(ISNUMBER(SEARCH("westnetz",$D25)),$M25="3-Punkt")),Regeln!$E$10,""))</f>
        <v/>
      </c>
      <c r="AO25" s="14" t="str">
        <f aca="false">IF($A25="","",IF(AND($Q25="Nein",$AG25&gt;0),Regeln!$E$11,""))</f>
        <v/>
      </c>
      <c r="AP25" s="14" t="str">
        <f aca="false">IF($A25="","",IF(AND($R25="1-phasig",OR(N($J25)&gt;4.6,$I25="Ja")),Regeln!$E$12,""))</f>
        <v/>
      </c>
      <c r="AQ25" s="14" t="str">
        <f aca="false">IF($A25="","",IF(OR($U25="Nein",$U25="Unbekannt"),Regeln!$E$13,""))</f>
        <v/>
      </c>
      <c r="AR25" s="14" t="str">
        <f aca="false">IF($A25="","",IF(OR($S25="TN-C",$S25="Unbekannt"),Regeln!$E$14,""))</f>
        <v/>
      </c>
      <c r="AS25" s="14" t="str">
        <f aca="false">IF($A25="","",IF(AND(N($T25)&gt;0,N($T25)&lt;50,$AG25&gt;=2),Regeln!$E$15,""))</f>
        <v/>
      </c>
      <c r="AT25" s="14" t="str">
        <f aca="false">IF($A25="","",IF(AND($E25="Ja",N($J25)&gt;12),Regeln!$E$16,""))</f>
        <v/>
      </c>
      <c r="AU25" s="14" t="str">
        <f aca="false">IF($A25="","",IF($L25="Unbekannt",Regeln!$E$17,""))</f>
        <v/>
      </c>
      <c r="AV25" s="14" t="str">
        <f aca="false">IF($A25="","",IF(AND(OR($L25="DIN 43870 Zählerschrank, Trennvorrichtung im AAR",$L25="DIN 43870 Zählerschrank, NH-Sicherung im NAR"),$AG25&gt;0),Regeln!$E$18,""))</f>
        <v/>
      </c>
      <c r="AW25" s="14" t="str">
        <f aca="false">IF($A25="","",IF(AND(ISNUMBER(SEARCH("westnetz",$D25)),OR($AH25="Ja",$I25="Ja"),$X25="Nein"),Regeln!$E$19,""))</f>
        <v/>
      </c>
      <c r="AX25" s="14" t="str">
        <f aca="false">IF($A25="","",IF(AND(ISNUMBER(SEARCH("westnetz",$D25)),OR($W25="Relais (potentialfrei)",$W25="Digital + Relais",AND($I25="Ja",N($AC25)&gt;=25)),$Y25="Nein"),Regeln!$E$20,""))</f>
        <v/>
      </c>
      <c r="AY25" s="14" t="str">
        <f aca="false">IF($A25="","",IF(AND(ISNUMBER(SEARCH("westnetz",$D25)),OR($W25="Digital (RJ45 / EEBUS)",$W25="Digital + Relais"),$Z25="Nein"),Regeln!$E$21,""))</f>
        <v/>
      </c>
      <c r="AZ25" s="14" t="str">
        <f aca="false">IF($A25="","",IF(AND(ISNUMBER(SEARCH("westnetz",$D25)),N($AB25)&gt;30),Regeln!$E$22,""))</f>
        <v/>
      </c>
      <c r="BA25" s="14" t="str">
        <f aca="false">IF($A25="","",IF(AND($AA25="10 mm² flexibel",N($AB25)*1000/(SQRT(3)*400)&gt;32),Regeln!$E$23,""))</f>
        <v/>
      </c>
      <c r="BB25" s="14" t="str">
        <f aca="false">IF($A25="","",IF(AND(ISNUMBER(SEARCH("westnetz",$D25)),$I25="Ja",N($AC25)&gt;=25),Regeln!$E$24,""))</f>
        <v/>
      </c>
      <c r="BC25" s="14" t="str">
        <f aca="false">IF($A25="","",IF(AND(ISNUMBER(SEARCH("westnetz",$D25)),$I25="Ja",OR($AH25="Ja",N($AC25)&gt;7)),Regeln!$E$25,""))</f>
        <v/>
      </c>
      <c r="BD25" s="14" t="str">
        <f aca="false">IF($A25="","",IF(AND(ISNUMBER(SEARCH("westnetz",$D25)),$AH25="Ja"),Regeln!$E$26,""))</f>
        <v/>
      </c>
      <c r="BE25" s="14" t="str">
        <f aca="false">IF($A25="","",IF(AND(ISNUMBER(SEARCH("westnetz",$D25)),OR($W25="Relais (potentialfrei)",$W25="Digital + Relais"),$M25="3-Punkt",$AD25="Nein"),Regeln!$E$27,""))</f>
        <v/>
      </c>
      <c r="BF25" s="14" t="str">
        <f aca="false">IF($A25="","",IF(AND(ISNUMBER(SEARCH("westnetz",$D25)),$I25="Ja"),Regeln!$E$28,""))</f>
        <v/>
      </c>
      <c r="BG25" s="14" t="str">
        <f aca="false">IF($A25="","",IF(AND(ISNUMBER(SEARCH("westnetz",$D25)),$H25="Ja"),Regeln!$E$29,""))</f>
        <v/>
      </c>
      <c r="BH25" s="14" t="str">
        <f aca="false">IF($A25="","",IF(AND(ISNUMBER(SEARCH("westnetz",$D25)),OR($W25="Relais (potentialfrei)",$W25="Digital + Relais")),Regeln!$E$30,""))</f>
        <v/>
      </c>
      <c r="BI25" s="15" t="str">
        <f aca="false">IF($A25="","",IF($AG25=0,"Kein Vorhaben",CHOOSE(MAX(AI25:BH25)+1,"Weiterverwendbar","Nachrüsten","Austausch")))</f>
        <v/>
      </c>
      <c r="BJ25" s="16" t="str">
        <f aca="false">IF($A25="","",_xlfn.TEXTJOIN(", ",TRUE(),IF(AI25&lt;&gt;"",AI$3,""),IF(AJ25&lt;&gt;"",AJ$3,""),IF(AK25&lt;&gt;"",AK$3,""),IF(AL25&lt;&gt;"",AL$3,""),IF(AM25&lt;&gt;"",AM$3,""),IF(AN25&lt;&gt;"",AN$3,""),IF(AO25&lt;&gt;"",AO$3,""),IF(AP25&lt;&gt;"",AP$3,""),IF(AQ25&lt;&gt;"",AQ$3,""),IF(AR25&lt;&gt;"",AR$3,""),IF(AS25&lt;&gt;"",AS$3,""),IF(AT25&lt;&gt;"",AT$3,""),IF(AU25&lt;&gt;"",AU$3,""),IF(AV25&lt;&gt;"",AV$3,""),IF(AW25&lt;&gt;"",AW$3,""),IF(AX25&lt;&gt;"",AX$3,""),IF(AY25&lt;&gt;"",AY$3,""),IF(AZ25&lt;&gt;"",AZ$3,""),IF(BA25&lt;&gt;"",BA$3,""),IF(BB25&lt;&gt;"",BB$3,""),IF(BC25&lt;&gt;"",BC$3,""),IF(BD25&lt;&gt;"",BD$3,""),IF(BE25&lt;&gt;"",BE$3,""),IF(BF25&lt;&gt;"",BF$3,""),IF(BG25&lt;&gt;"",BG$3,""),IF(BH25&lt;&gt;"",BH$3,"")))</f>
        <v/>
      </c>
      <c r="BK25" s="15" t="str">
        <f aca="false">IF(OR($A25="",$AE25=""),"",IF(BI25=$AE25,"Ja","Nein"))</f>
        <v/>
      </c>
      <c r="BL25" s="16" t="str">
        <f aca="false">IF($A25="","",IF(NOT(ISNUMBER(SEARCH("westnetz",$D25))),"–",IF($I25="Ja",IF($K25="Modul 2","MK 8 (Kaskade: Z1 SteuVE, Z2 Haushalt)","MK 2 (Überschuss)"),IF($K25="Modul 2","MK 0 + eigener Zählpunkt SteuVE","MK 0"))))</f>
        <v/>
      </c>
    </row>
    <row r="26" customFormat="false" ht="1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9"/>
      <c r="AG26" s="14" t="str">
        <f aca="false">IF($A26="","",COUNTIF($E26:$I26,"Ja"))</f>
        <v/>
      </c>
      <c r="AH26" s="14" t="str">
        <f aca="false">IF($A26="","",IF(AND(COUNTIF($E26:$H26,"Ja")&gt;0,N($J26)&gt;=4.2),"Ja","Nein"))</f>
        <v/>
      </c>
      <c r="AI26" s="14" t="str">
        <f aca="false">IF($A26="","",IF(AND(OR($L26="DIN 43853 Zählertafel ohne Schutzklasse II",$L26="DIN 43853 Norm-Zählertafel (Schutzklasse II)",$L26="DIN 43870 Norm-Zählertafel mit Vorsicherung"),$AG26&gt;0),Regeln!$E$5,""))</f>
        <v/>
      </c>
      <c r="AJ26" s="14" t="str">
        <f aca="false">IF($A26="","",IF(AND(OR($L26="DIN 43870 Zählerschrank, Trennvorrichtung im AAR",$L26="DIN 43870 Zählerschrank, NH-Sicherung im NAR"),OR($AA26="unter 10 mm² oder starr",$AA26="Unbekannt",$AA26=""),$AG26&gt;0),Regeln!$E$6,""))</f>
        <v/>
      </c>
      <c r="AK26" s="14" t="str">
        <f aca="false">IF($A26="","",IF(AND($V26="Nein",$AG26&gt;0),Regeln!$E$7,""))</f>
        <v/>
      </c>
      <c r="AL26" s="14" t="str">
        <f aca="false">IF($A26="","",IF(AND(OR($AH26="Ja",$I26="Ja"),$O26="Nein"),Regeln!$E$8,""))</f>
        <v/>
      </c>
      <c r="AM26" s="14" t="str">
        <f aca="false">IF($A26="","",IF(AND($K26="Modul 2",N($N26)&lt;1),Regeln!$E$9,""))</f>
        <v/>
      </c>
      <c r="AN26" s="14" t="str">
        <f aca="false">IF($A26="","",IF(AND($P26="Nein",$AG26&gt;0,OR(ISNUMBER(SEARCH("westnetz",$D26)),$M26="3-Punkt")),Regeln!$E$10,""))</f>
        <v/>
      </c>
      <c r="AO26" s="14" t="str">
        <f aca="false">IF($A26="","",IF(AND($Q26="Nein",$AG26&gt;0),Regeln!$E$11,""))</f>
        <v/>
      </c>
      <c r="AP26" s="14" t="str">
        <f aca="false">IF($A26="","",IF(AND($R26="1-phasig",OR(N($J26)&gt;4.6,$I26="Ja")),Regeln!$E$12,""))</f>
        <v/>
      </c>
      <c r="AQ26" s="14" t="str">
        <f aca="false">IF($A26="","",IF(OR($U26="Nein",$U26="Unbekannt"),Regeln!$E$13,""))</f>
        <v/>
      </c>
      <c r="AR26" s="14" t="str">
        <f aca="false">IF($A26="","",IF(OR($S26="TN-C",$S26="Unbekannt"),Regeln!$E$14,""))</f>
        <v/>
      </c>
      <c r="AS26" s="14" t="str">
        <f aca="false">IF($A26="","",IF(AND(N($T26)&gt;0,N($T26)&lt;50,$AG26&gt;=2),Regeln!$E$15,""))</f>
        <v/>
      </c>
      <c r="AT26" s="14" t="str">
        <f aca="false">IF($A26="","",IF(AND($E26="Ja",N($J26)&gt;12),Regeln!$E$16,""))</f>
        <v/>
      </c>
      <c r="AU26" s="14" t="str">
        <f aca="false">IF($A26="","",IF($L26="Unbekannt",Regeln!$E$17,""))</f>
        <v/>
      </c>
      <c r="AV26" s="14" t="str">
        <f aca="false">IF($A26="","",IF(AND(OR($L26="DIN 43870 Zählerschrank, Trennvorrichtung im AAR",$L26="DIN 43870 Zählerschrank, NH-Sicherung im NAR"),$AG26&gt;0),Regeln!$E$18,""))</f>
        <v/>
      </c>
      <c r="AW26" s="14" t="str">
        <f aca="false">IF($A26="","",IF(AND(ISNUMBER(SEARCH("westnetz",$D26)),OR($AH26="Ja",$I26="Ja"),$X26="Nein"),Regeln!$E$19,""))</f>
        <v/>
      </c>
      <c r="AX26" s="14" t="str">
        <f aca="false">IF($A26="","",IF(AND(ISNUMBER(SEARCH("westnetz",$D26)),OR($W26="Relais (potentialfrei)",$W26="Digital + Relais",AND($I26="Ja",N($AC26)&gt;=25)),$Y26="Nein"),Regeln!$E$20,""))</f>
        <v/>
      </c>
      <c r="AY26" s="14" t="str">
        <f aca="false">IF($A26="","",IF(AND(ISNUMBER(SEARCH("westnetz",$D26)),OR($W26="Digital (RJ45 / EEBUS)",$W26="Digital + Relais"),$Z26="Nein"),Regeln!$E$21,""))</f>
        <v/>
      </c>
      <c r="AZ26" s="14" t="str">
        <f aca="false">IF($A26="","",IF(AND(ISNUMBER(SEARCH("westnetz",$D26)),N($AB26)&gt;30),Regeln!$E$22,""))</f>
        <v/>
      </c>
      <c r="BA26" s="14" t="str">
        <f aca="false">IF($A26="","",IF(AND($AA26="10 mm² flexibel",N($AB26)*1000/(SQRT(3)*400)&gt;32),Regeln!$E$23,""))</f>
        <v/>
      </c>
      <c r="BB26" s="14" t="str">
        <f aca="false">IF($A26="","",IF(AND(ISNUMBER(SEARCH("westnetz",$D26)),$I26="Ja",N($AC26)&gt;=25),Regeln!$E$24,""))</f>
        <v/>
      </c>
      <c r="BC26" s="14" t="str">
        <f aca="false">IF($A26="","",IF(AND(ISNUMBER(SEARCH("westnetz",$D26)),$I26="Ja",OR($AH26="Ja",N($AC26)&gt;7)),Regeln!$E$25,""))</f>
        <v/>
      </c>
      <c r="BD26" s="14" t="str">
        <f aca="false">IF($A26="","",IF(AND(ISNUMBER(SEARCH("westnetz",$D26)),$AH26="Ja"),Regeln!$E$26,""))</f>
        <v/>
      </c>
      <c r="BE26" s="14" t="str">
        <f aca="false">IF($A26="","",IF(AND(ISNUMBER(SEARCH("westnetz",$D26)),OR($W26="Relais (potentialfrei)",$W26="Digital + Relais"),$M26="3-Punkt",$AD26="Nein"),Regeln!$E$27,""))</f>
        <v/>
      </c>
      <c r="BF26" s="14" t="str">
        <f aca="false">IF($A26="","",IF(AND(ISNUMBER(SEARCH("westnetz",$D26)),$I26="Ja"),Regeln!$E$28,""))</f>
        <v/>
      </c>
      <c r="BG26" s="14" t="str">
        <f aca="false">IF($A26="","",IF(AND(ISNUMBER(SEARCH("westnetz",$D26)),$H26="Ja"),Regeln!$E$29,""))</f>
        <v/>
      </c>
      <c r="BH26" s="14" t="str">
        <f aca="false">IF($A26="","",IF(AND(ISNUMBER(SEARCH("westnetz",$D26)),OR($W26="Relais (potentialfrei)",$W26="Digital + Relais")),Regeln!$E$30,""))</f>
        <v/>
      </c>
      <c r="BI26" s="15" t="str">
        <f aca="false">IF($A26="","",IF($AG26=0,"Kein Vorhaben",CHOOSE(MAX(AI26:BH26)+1,"Weiterverwendbar","Nachrüsten","Austausch")))</f>
        <v/>
      </c>
      <c r="BJ26" s="16" t="str">
        <f aca="false">IF($A26="","",_xlfn.TEXTJOIN(", ",TRUE(),IF(AI26&lt;&gt;"",AI$3,""),IF(AJ26&lt;&gt;"",AJ$3,""),IF(AK26&lt;&gt;"",AK$3,""),IF(AL26&lt;&gt;"",AL$3,""),IF(AM26&lt;&gt;"",AM$3,""),IF(AN26&lt;&gt;"",AN$3,""),IF(AO26&lt;&gt;"",AO$3,""),IF(AP26&lt;&gt;"",AP$3,""),IF(AQ26&lt;&gt;"",AQ$3,""),IF(AR26&lt;&gt;"",AR$3,""),IF(AS26&lt;&gt;"",AS$3,""),IF(AT26&lt;&gt;"",AT$3,""),IF(AU26&lt;&gt;"",AU$3,""),IF(AV26&lt;&gt;"",AV$3,""),IF(AW26&lt;&gt;"",AW$3,""),IF(AX26&lt;&gt;"",AX$3,""),IF(AY26&lt;&gt;"",AY$3,""),IF(AZ26&lt;&gt;"",AZ$3,""),IF(BA26&lt;&gt;"",BA$3,""),IF(BB26&lt;&gt;"",BB$3,""),IF(BC26&lt;&gt;"",BC$3,""),IF(BD26&lt;&gt;"",BD$3,""),IF(BE26&lt;&gt;"",BE$3,""),IF(BF26&lt;&gt;"",BF$3,""),IF(BG26&lt;&gt;"",BG$3,""),IF(BH26&lt;&gt;"",BH$3,"")))</f>
        <v/>
      </c>
      <c r="BK26" s="15" t="str">
        <f aca="false">IF(OR($A26="",$AE26=""),"",IF(BI26=$AE26,"Ja","Nein"))</f>
        <v/>
      </c>
      <c r="BL26" s="16" t="str">
        <f aca="false">IF($A26="","",IF(NOT(ISNUMBER(SEARCH("westnetz",$D26))),"–",IF($I26="Ja",IF($K26="Modul 2","MK 8 (Kaskade: Z1 SteuVE, Z2 Haushalt)","MK 2 (Überschuss)"),IF($K26="Modul 2","MK 0 + eigener Zählpunkt SteuVE","MK 0"))))</f>
        <v/>
      </c>
    </row>
    <row r="27" customFormat="false" ht="1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9"/>
      <c r="AG27" s="14" t="str">
        <f aca="false">IF($A27="","",COUNTIF($E27:$I27,"Ja"))</f>
        <v/>
      </c>
      <c r="AH27" s="14" t="str">
        <f aca="false">IF($A27="","",IF(AND(COUNTIF($E27:$H27,"Ja")&gt;0,N($J27)&gt;=4.2),"Ja","Nein"))</f>
        <v/>
      </c>
      <c r="AI27" s="14" t="str">
        <f aca="false">IF($A27="","",IF(AND(OR($L27="DIN 43853 Zählertafel ohne Schutzklasse II",$L27="DIN 43853 Norm-Zählertafel (Schutzklasse II)",$L27="DIN 43870 Norm-Zählertafel mit Vorsicherung"),$AG27&gt;0),Regeln!$E$5,""))</f>
        <v/>
      </c>
      <c r="AJ27" s="14" t="str">
        <f aca="false">IF($A27="","",IF(AND(OR($L27="DIN 43870 Zählerschrank, Trennvorrichtung im AAR",$L27="DIN 43870 Zählerschrank, NH-Sicherung im NAR"),OR($AA27="unter 10 mm² oder starr",$AA27="Unbekannt",$AA27=""),$AG27&gt;0),Regeln!$E$6,""))</f>
        <v/>
      </c>
      <c r="AK27" s="14" t="str">
        <f aca="false">IF($A27="","",IF(AND($V27="Nein",$AG27&gt;0),Regeln!$E$7,""))</f>
        <v/>
      </c>
      <c r="AL27" s="14" t="str">
        <f aca="false">IF($A27="","",IF(AND(OR($AH27="Ja",$I27="Ja"),$O27="Nein"),Regeln!$E$8,""))</f>
        <v/>
      </c>
      <c r="AM27" s="14" t="str">
        <f aca="false">IF($A27="","",IF(AND($K27="Modul 2",N($N27)&lt;1),Regeln!$E$9,""))</f>
        <v/>
      </c>
      <c r="AN27" s="14" t="str">
        <f aca="false">IF($A27="","",IF(AND($P27="Nein",$AG27&gt;0,OR(ISNUMBER(SEARCH("westnetz",$D27)),$M27="3-Punkt")),Regeln!$E$10,""))</f>
        <v/>
      </c>
      <c r="AO27" s="14" t="str">
        <f aca="false">IF($A27="","",IF(AND($Q27="Nein",$AG27&gt;0),Regeln!$E$11,""))</f>
        <v/>
      </c>
      <c r="AP27" s="14" t="str">
        <f aca="false">IF($A27="","",IF(AND($R27="1-phasig",OR(N($J27)&gt;4.6,$I27="Ja")),Regeln!$E$12,""))</f>
        <v/>
      </c>
      <c r="AQ27" s="14" t="str">
        <f aca="false">IF($A27="","",IF(OR($U27="Nein",$U27="Unbekannt"),Regeln!$E$13,""))</f>
        <v/>
      </c>
      <c r="AR27" s="14" t="str">
        <f aca="false">IF($A27="","",IF(OR($S27="TN-C",$S27="Unbekannt"),Regeln!$E$14,""))</f>
        <v/>
      </c>
      <c r="AS27" s="14" t="str">
        <f aca="false">IF($A27="","",IF(AND(N($T27)&gt;0,N($T27)&lt;50,$AG27&gt;=2),Regeln!$E$15,""))</f>
        <v/>
      </c>
      <c r="AT27" s="14" t="str">
        <f aca="false">IF($A27="","",IF(AND($E27="Ja",N($J27)&gt;12),Regeln!$E$16,""))</f>
        <v/>
      </c>
      <c r="AU27" s="14" t="str">
        <f aca="false">IF($A27="","",IF($L27="Unbekannt",Regeln!$E$17,""))</f>
        <v/>
      </c>
      <c r="AV27" s="14" t="str">
        <f aca="false">IF($A27="","",IF(AND(OR($L27="DIN 43870 Zählerschrank, Trennvorrichtung im AAR",$L27="DIN 43870 Zählerschrank, NH-Sicherung im NAR"),$AG27&gt;0),Regeln!$E$18,""))</f>
        <v/>
      </c>
      <c r="AW27" s="14" t="str">
        <f aca="false">IF($A27="","",IF(AND(ISNUMBER(SEARCH("westnetz",$D27)),OR($AH27="Ja",$I27="Ja"),$X27="Nein"),Regeln!$E$19,""))</f>
        <v/>
      </c>
      <c r="AX27" s="14" t="str">
        <f aca="false">IF($A27="","",IF(AND(ISNUMBER(SEARCH("westnetz",$D27)),OR($W27="Relais (potentialfrei)",$W27="Digital + Relais",AND($I27="Ja",N($AC27)&gt;=25)),$Y27="Nein"),Regeln!$E$20,""))</f>
        <v/>
      </c>
      <c r="AY27" s="14" t="str">
        <f aca="false">IF($A27="","",IF(AND(ISNUMBER(SEARCH("westnetz",$D27)),OR($W27="Digital (RJ45 / EEBUS)",$W27="Digital + Relais"),$Z27="Nein"),Regeln!$E$21,""))</f>
        <v/>
      </c>
      <c r="AZ27" s="14" t="str">
        <f aca="false">IF($A27="","",IF(AND(ISNUMBER(SEARCH("westnetz",$D27)),N($AB27)&gt;30),Regeln!$E$22,""))</f>
        <v/>
      </c>
      <c r="BA27" s="14" t="str">
        <f aca="false">IF($A27="","",IF(AND($AA27="10 mm² flexibel",N($AB27)*1000/(SQRT(3)*400)&gt;32),Regeln!$E$23,""))</f>
        <v/>
      </c>
      <c r="BB27" s="14" t="str">
        <f aca="false">IF($A27="","",IF(AND(ISNUMBER(SEARCH("westnetz",$D27)),$I27="Ja",N($AC27)&gt;=25),Regeln!$E$24,""))</f>
        <v/>
      </c>
      <c r="BC27" s="14" t="str">
        <f aca="false">IF($A27="","",IF(AND(ISNUMBER(SEARCH("westnetz",$D27)),$I27="Ja",OR($AH27="Ja",N($AC27)&gt;7)),Regeln!$E$25,""))</f>
        <v/>
      </c>
      <c r="BD27" s="14" t="str">
        <f aca="false">IF($A27="","",IF(AND(ISNUMBER(SEARCH("westnetz",$D27)),$AH27="Ja"),Regeln!$E$26,""))</f>
        <v/>
      </c>
      <c r="BE27" s="14" t="str">
        <f aca="false">IF($A27="","",IF(AND(ISNUMBER(SEARCH("westnetz",$D27)),OR($W27="Relais (potentialfrei)",$W27="Digital + Relais"),$M27="3-Punkt",$AD27="Nein"),Regeln!$E$27,""))</f>
        <v/>
      </c>
      <c r="BF27" s="14" t="str">
        <f aca="false">IF($A27="","",IF(AND(ISNUMBER(SEARCH("westnetz",$D27)),$I27="Ja"),Regeln!$E$28,""))</f>
        <v/>
      </c>
      <c r="BG27" s="14" t="str">
        <f aca="false">IF($A27="","",IF(AND(ISNUMBER(SEARCH("westnetz",$D27)),$H27="Ja"),Regeln!$E$29,""))</f>
        <v/>
      </c>
      <c r="BH27" s="14" t="str">
        <f aca="false">IF($A27="","",IF(AND(ISNUMBER(SEARCH("westnetz",$D27)),OR($W27="Relais (potentialfrei)",$W27="Digital + Relais")),Regeln!$E$30,""))</f>
        <v/>
      </c>
      <c r="BI27" s="15" t="str">
        <f aca="false">IF($A27="","",IF($AG27=0,"Kein Vorhaben",CHOOSE(MAX(AI27:BH27)+1,"Weiterverwendbar","Nachrüsten","Austausch")))</f>
        <v/>
      </c>
      <c r="BJ27" s="16" t="str">
        <f aca="false">IF($A27="","",_xlfn.TEXTJOIN(", ",TRUE(),IF(AI27&lt;&gt;"",AI$3,""),IF(AJ27&lt;&gt;"",AJ$3,""),IF(AK27&lt;&gt;"",AK$3,""),IF(AL27&lt;&gt;"",AL$3,""),IF(AM27&lt;&gt;"",AM$3,""),IF(AN27&lt;&gt;"",AN$3,""),IF(AO27&lt;&gt;"",AO$3,""),IF(AP27&lt;&gt;"",AP$3,""),IF(AQ27&lt;&gt;"",AQ$3,""),IF(AR27&lt;&gt;"",AR$3,""),IF(AS27&lt;&gt;"",AS$3,""),IF(AT27&lt;&gt;"",AT$3,""),IF(AU27&lt;&gt;"",AU$3,""),IF(AV27&lt;&gt;"",AV$3,""),IF(AW27&lt;&gt;"",AW$3,""),IF(AX27&lt;&gt;"",AX$3,""),IF(AY27&lt;&gt;"",AY$3,""),IF(AZ27&lt;&gt;"",AZ$3,""),IF(BA27&lt;&gt;"",BA$3,""),IF(BB27&lt;&gt;"",BB$3,""),IF(BC27&lt;&gt;"",BC$3,""),IF(BD27&lt;&gt;"",BD$3,""),IF(BE27&lt;&gt;"",BE$3,""),IF(BF27&lt;&gt;"",BF$3,""),IF(BG27&lt;&gt;"",BG$3,""),IF(BH27&lt;&gt;"",BH$3,"")))</f>
        <v/>
      </c>
      <c r="BK27" s="15" t="str">
        <f aca="false">IF(OR($A27="",$AE27=""),"",IF(BI27=$AE27,"Ja","Nein"))</f>
        <v/>
      </c>
      <c r="BL27" s="16" t="str">
        <f aca="false">IF($A27="","",IF(NOT(ISNUMBER(SEARCH("westnetz",$D27))),"–",IF($I27="Ja",IF($K27="Modul 2","MK 8 (Kaskade: Z1 SteuVE, Z2 Haushalt)","MK 2 (Überschuss)"),IF($K27="Modul 2","MK 0 + eigener Zählpunkt SteuVE","MK 0"))))</f>
        <v/>
      </c>
    </row>
    <row r="28" customFormat="false" ht="1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9"/>
      <c r="AG28" s="14" t="str">
        <f aca="false">IF($A28="","",COUNTIF($E28:$I28,"Ja"))</f>
        <v/>
      </c>
      <c r="AH28" s="14" t="str">
        <f aca="false">IF($A28="","",IF(AND(COUNTIF($E28:$H28,"Ja")&gt;0,N($J28)&gt;=4.2),"Ja","Nein"))</f>
        <v/>
      </c>
      <c r="AI28" s="14" t="str">
        <f aca="false">IF($A28="","",IF(AND(OR($L28="DIN 43853 Zählertafel ohne Schutzklasse II",$L28="DIN 43853 Norm-Zählertafel (Schutzklasse II)",$L28="DIN 43870 Norm-Zählertafel mit Vorsicherung"),$AG28&gt;0),Regeln!$E$5,""))</f>
        <v/>
      </c>
      <c r="AJ28" s="14" t="str">
        <f aca="false">IF($A28="","",IF(AND(OR($L28="DIN 43870 Zählerschrank, Trennvorrichtung im AAR",$L28="DIN 43870 Zählerschrank, NH-Sicherung im NAR"),OR($AA28="unter 10 mm² oder starr",$AA28="Unbekannt",$AA28=""),$AG28&gt;0),Regeln!$E$6,""))</f>
        <v/>
      </c>
      <c r="AK28" s="14" t="str">
        <f aca="false">IF($A28="","",IF(AND($V28="Nein",$AG28&gt;0),Regeln!$E$7,""))</f>
        <v/>
      </c>
      <c r="AL28" s="14" t="str">
        <f aca="false">IF($A28="","",IF(AND(OR($AH28="Ja",$I28="Ja"),$O28="Nein"),Regeln!$E$8,""))</f>
        <v/>
      </c>
      <c r="AM28" s="14" t="str">
        <f aca="false">IF($A28="","",IF(AND($K28="Modul 2",N($N28)&lt;1),Regeln!$E$9,""))</f>
        <v/>
      </c>
      <c r="AN28" s="14" t="str">
        <f aca="false">IF($A28="","",IF(AND($P28="Nein",$AG28&gt;0,OR(ISNUMBER(SEARCH("westnetz",$D28)),$M28="3-Punkt")),Regeln!$E$10,""))</f>
        <v/>
      </c>
      <c r="AO28" s="14" t="str">
        <f aca="false">IF($A28="","",IF(AND($Q28="Nein",$AG28&gt;0),Regeln!$E$11,""))</f>
        <v/>
      </c>
      <c r="AP28" s="14" t="str">
        <f aca="false">IF($A28="","",IF(AND($R28="1-phasig",OR(N($J28)&gt;4.6,$I28="Ja")),Regeln!$E$12,""))</f>
        <v/>
      </c>
      <c r="AQ28" s="14" t="str">
        <f aca="false">IF($A28="","",IF(OR($U28="Nein",$U28="Unbekannt"),Regeln!$E$13,""))</f>
        <v/>
      </c>
      <c r="AR28" s="14" t="str">
        <f aca="false">IF($A28="","",IF(OR($S28="TN-C",$S28="Unbekannt"),Regeln!$E$14,""))</f>
        <v/>
      </c>
      <c r="AS28" s="14" t="str">
        <f aca="false">IF($A28="","",IF(AND(N($T28)&gt;0,N($T28)&lt;50,$AG28&gt;=2),Regeln!$E$15,""))</f>
        <v/>
      </c>
      <c r="AT28" s="14" t="str">
        <f aca="false">IF($A28="","",IF(AND($E28="Ja",N($J28)&gt;12),Regeln!$E$16,""))</f>
        <v/>
      </c>
      <c r="AU28" s="14" t="str">
        <f aca="false">IF($A28="","",IF($L28="Unbekannt",Regeln!$E$17,""))</f>
        <v/>
      </c>
      <c r="AV28" s="14" t="str">
        <f aca="false">IF($A28="","",IF(AND(OR($L28="DIN 43870 Zählerschrank, Trennvorrichtung im AAR",$L28="DIN 43870 Zählerschrank, NH-Sicherung im NAR"),$AG28&gt;0),Regeln!$E$18,""))</f>
        <v/>
      </c>
      <c r="AW28" s="14" t="str">
        <f aca="false">IF($A28="","",IF(AND(ISNUMBER(SEARCH("westnetz",$D28)),OR($AH28="Ja",$I28="Ja"),$X28="Nein"),Regeln!$E$19,""))</f>
        <v/>
      </c>
      <c r="AX28" s="14" t="str">
        <f aca="false">IF($A28="","",IF(AND(ISNUMBER(SEARCH("westnetz",$D28)),OR($W28="Relais (potentialfrei)",$W28="Digital + Relais",AND($I28="Ja",N($AC28)&gt;=25)),$Y28="Nein"),Regeln!$E$20,""))</f>
        <v/>
      </c>
      <c r="AY28" s="14" t="str">
        <f aca="false">IF($A28="","",IF(AND(ISNUMBER(SEARCH("westnetz",$D28)),OR($W28="Digital (RJ45 / EEBUS)",$W28="Digital + Relais"),$Z28="Nein"),Regeln!$E$21,""))</f>
        <v/>
      </c>
      <c r="AZ28" s="14" t="str">
        <f aca="false">IF($A28="","",IF(AND(ISNUMBER(SEARCH("westnetz",$D28)),N($AB28)&gt;30),Regeln!$E$22,""))</f>
        <v/>
      </c>
      <c r="BA28" s="14" t="str">
        <f aca="false">IF($A28="","",IF(AND($AA28="10 mm² flexibel",N($AB28)*1000/(SQRT(3)*400)&gt;32),Regeln!$E$23,""))</f>
        <v/>
      </c>
      <c r="BB28" s="14" t="str">
        <f aca="false">IF($A28="","",IF(AND(ISNUMBER(SEARCH("westnetz",$D28)),$I28="Ja",N($AC28)&gt;=25),Regeln!$E$24,""))</f>
        <v/>
      </c>
      <c r="BC28" s="14" t="str">
        <f aca="false">IF($A28="","",IF(AND(ISNUMBER(SEARCH("westnetz",$D28)),$I28="Ja",OR($AH28="Ja",N($AC28)&gt;7)),Regeln!$E$25,""))</f>
        <v/>
      </c>
      <c r="BD28" s="14" t="str">
        <f aca="false">IF($A28="","",IF(AND(ISNUMBER(SEARCH("westnetz",$D28)),$AH28="Ja"),Regeln!$E$26,""))</f>
        <v/>
      </c>
      <c r="BE28" s="14" t="str">
        <f aca="false">IF($A28="","",IF(AND(ISNUMBER(SEARCH("westnetz",$D28)),OR($W28="Relais (potentialfrei)",$W28="Digital + Relais"),$M28="3-Punkt",$AD28="Nein"),Regeln!$E$27,""))</f>
        <v/>
      </c>
      <c r="BF28" s="14" t="str">
        <f aca="false">IF($A28="","",IF(AND(ISNUMBER(SEARCH("westnetz",$D28)),$I28="Ja"),Regeln!$E$28,""))</f>
        <v/>
      </c>
      <c r="BG28" s="14" t="str">
        <f aca="false">IF($A28="","",IF(AND(ISNUMBER(SEARCH("westnetz",$D28)),$H28="Ja"),Regeln!$E$29,""))</f>
        <v/>
      </c>
      <c r="BH28" s="14" t="str">
        <f aca="false">IF($A28="","",IF(AND(ISNUMBER(SEARCH("westnetz",$D28)),OR($W28="Relais (potentialfrei)",$W28="Digital + Relais")),Regeln!$E$30,""))</f>
        <v/>
      </c>
      <c r="BI28" s="15" t="str">
        <f aca="false">IF($A28="","",IF($AG28=0,"Kein Vorhaben",CHOOSE(MAX(AI28:BH28)+1,"Weiterverwendbar","Nachrüsten","Austausch")))</f>
        <v/>
      </c>
      <c r="BJ28" s="16" t="str">
        <f aca="false">IF($A28="","",_xlfn.TEXTJOIN(", ",TRUE(),IF(AI28&lt;&gt;"",AI$3,""),IF(AJ28&lt;&gt;"",AJ$3,""),IF(AK28&lt;&gt;"",AK$3,""),IF(AL28&lt;&gt;"",AL$3,""),IF(AM28&lt;&gt;"",AM$3,""),IF(AN28&lt;&gt;"",AN$3,""),IF(AO28&lt;&gt;"",AO$3,""),IF(AP28&lt;&gt;"",AP$3,""),IF(AQ28&lt;&gt;"",AQ$3,""),IF(AR28&lt;&gt;"",AR$3,""),IF(AS28&lt;&gt;"",AS$3,""),IF(AT28&lt;&gt;"",AT$3,""),IF(AU28&lt;&gt;"",AU$3,""),IF(AV28&lt;&gt;"",AV$3,""),IF(AW28&lt;&gt;"",AW$3,""),IF(AX28&lt;&gt;"",AX$3,""),IF(AY28&lt;&gt;"",AY$3,""),IF(AZ28&lt;&gt;"",AZ$3,""),IF(BA28&lt;&gt;"",BA$3,""),IF(BB28&lt;&gt;"",BB$3,""),IF(BC28&lt;&gt;"",BC$3,""),IF(BD28&lt;&gt;"",BD$3,""),IF(BE28&lt;&gt;"",BE$3,""),IF(BF28&lt;&gt;"",BF$3,""),IF(BG28&lt;&gt;"",BG$3,""),IF(BH28&lt;&gt;"",BH$3,"")))</f>
        <v/>
      </c>
      <c r="BK28" s="15" t="str">
        <f aca="false">IF(OR($A28="",$AE28=""),"",IF(BI28=$AE28,"Ja","Nein"))</f>
        <v/>
      </c>
      <c r="BL28" s="16" t="str">
        <f aca="false">IF($A28="","",IF(NOT(ISNUMBER(SEARCH("westnetz",$D28))),"–",IF($I28="Ja",IF($K28="Modul 2","MK 8 (Kaskade: Z1 SteuVE, Z2 Haushalt)","MK 2 (Überschuss)"),IF($K28="Modul 2","MK 0 + eigener Zählpunkt SteuVE","MK 0"))))</f>
        <v/>
      </c>
    </row>
    <row r="29" customFormat="false" ht="1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9"/>
      <c r="AG29" s="14" t="str">
        <f aca="false">IF($A29="","",COUNTIF($E29:$I29,"Ja"))</f>
        <v/>
      </c>
      <c r="AH29" s="14" t="str">
        <f aca="false">IF($A29="","",IF(AND(COUNTIF($E29:$H29,"Ja")&gt;0,N($J29)&gt;=4.2),"Ja","Nein"))</f>
        <v/>
      </c>
      <c r="AI29" s="14" t="str">
        <f aca="false">IF($A29="","",IF(AND(OR($L29="DIN 43853 Zählertafel ohne Schutzklasse II",$L29="DIN 43853 Norm-Zählertafel (Schutzklasse II)",$L29="DIN 43870 Norm-Zählertafel mit Vorsicherung"),$AG29&gt;0),Regeln!$E$5,""))</f>
        <v/>
      </c>
      <c r="AJ29" s="14" t="str">
        <f aca="false">IF($A29="","",IF(AND(OR($L29="DIN 43870 Zählerschrank, Trennvorrichtung im AAR",$L29="DIN 43870 Zählerschrank, NH-Sicherung im NAR"),OR($AA29="unter 10 mm² oder starr",$AA29="Unbekannt",$AA29=""),$AG29&gt;0),Regeln!$E$6,""))</f>
        <v/>
      </c>
      <c r="AK29" s="14" t="str">
        <f aca="false">IF($A29="","",IF(AND($V29="Nein",$AG29&gt;0),Regeln!$E$7,""))</f>
        <v/>
      </c>
      <c r="AL29" s="14" t="str">
        <f aca="false">IF($A29="","",IF(AND(OR($AH29="Ja",$I29="Ja"),$O29="Nein"),Regeln!$E$8,""))</f>
        <v/>
      </c>
      <c r="AM29" s="14" t="str">
        <f aca="false">IF($A29="","",IF(AND($K29="Modul 2",N($N29)&lt;1),Regeln!$E$9,""))</f>
        <v/>
      </c>
      <c r="AN29" s="14" t="str">
        <f aca="false">IF($A29="","",IF(AND($P29="Nein",$AG29&gt;0,OR(ISNUMBER(SEARCH("westnetz",$D29)),$M29="3-Punkt")),Regeln!$E$10,""))</f>
        <v/>
      </c>
      <c r="AO29" s="14" t="str">
        <f aca="false">IF($A29="","",IF(AND($Q29="Nein",$AG29&gt;0),Regeln!$E$11,""))</f>
        <v/>
      </c>
      <c r="AP29" s="14" t="str">
        <f aca="false">IF($A29="","",IF(AND($R29="1-phasig",OR(N($J29)&gt;4.6,$I29="Ja")),Regeln!$E$12,""))</f>
        <v/>
      </c>
      <c r="AQ29" s="14" t="str">
        <f aca="false">IF($A29="","",IF(OR($U29="Nein",$U29="Unbekannt"),Regeln!$E$13,""))</f>
        <v/>
      </c>
      <c r="AR29" s="14" t="str">
        <f aca="false">IF($A29="","",IF(OR($S29="TN-C",$S29="Unbekannt"),Regeln!$E$14,""))</f>
        <v/>
      </c>
      <c r="AS29" s="14" t="str">
        <f aca="false">IF($A29="","",IF(AND(N($T29)&gt;0,N($T29)&lt;50,$AG29&gt;=2),Regeln!$E$15,""))</f>
        <v/>
      </c>
      <c r="AT29" s="14" t="str">
        <f aca="false">IF($A29="","",IF(AND($E29="Ja",N($J29)&gt;12),Regeln!$E$16,""))</f>
        <v/>
      </c>
      <c r="AU29" s="14" t="str">
        <f aca="false">IF($A29="","",IF($L29="Unbekannt",Regeln!$E$17,""))</f>
        <v/>
      </c>
      <c r="AV29" s="14" t="str">
        <f aca="false">IF($A29="","",IF(AND(OR($L29="DIN 43870 Zählerschrank, Trennvorrichtung im AAR",$L29="DIN 43870 Zählerschrank, NH-Sicherung im NAR"),$AG29&gt;0),Regeln!$E$18,""))</f>
        <v/>
      </c>
      <c r="AW29" s="14" t="str">
        <f aca="false">IF($A29="","",IF(AND(ISNUMBER(SEARCH("westnetz",$D29)),OR($AH29="Ja",$I29="Ja"),$X29="Nein"),Regeln!$E$19,""))</f>
        <v/>
      </c>
      <c r="AX29" s="14" t="str">
        <f aca="false">IF($A29="","",IF(AND(ISNUMBER(SEARCH("westnetz",$D29)),OR($W29="Relais (potentialfrei)",$W29="Digital + Relais",AND($I29="Ja",N($AC29)&gt;=25)),$Y29="Nein"),Regeln!$E$20,""))</f>
        <v/>
      </c>
      <c r="AY29" s="14" t="str">
        <f aca="false">IF($A29="","",IF(AND(ISNUMBER(SEARCH("westnetz",$D29)),OR($W29="Digital (RJ45 / EEBUS)",$W29="Digital + Relais"),$Z29="Nein"),Regeln!$E$21,""))</f>
        <v/>
      </c>
      <c r="AZ29" s="14" t="str">
        <f aca="false">IF($A29="","",IF(AND(ISNUMBER(SEARCH("westnetz",$D29)),N($AB29)&gt;30),Regeln!$E$22,""))</f>
        <v/>
      </c>
      <c r="BA29" s="14" t="str">
        <f aca="false">IF($A29="","",IF(AND($AA29="10 mm² flexibel",N($AB29)*1000/(SQRT(3)*400)&gt;32),Regeln!$E$23,""))</f>
        <v/>
      </c>
      <c r="BB29" s="14" t="str">
        <f aca="false">IF($A29="","",IF(AND(ISNUMBER(SEARCH("westnetz",$D29)),$I29="Ja",N($AC29)&gt;=25),Regeln!$E$24,""))</f>
        <v/>
      </c>
      <c r="BC29" s="14" t="str">
        <f aca="false">IF($A29="","",IF(AND(ISNUMBER(SEARCH("westnetz",$D29)),$I29="Ja",OR($AH29="Ja",N($AC29)&gt;7)),Regeln!$E$25,""))</f>
        <v/>
      </c>
      <c r="BD29" s="14" t="str">
        <f aca="false">IF($A29="","",IF(AND(ISNUMBER(SEARCH("westnetz",$D29)),$AH29="Ja"),Regeln!$E$26,""))</f>
        <v/>
      </c>
      <c r="BE29" s="14" t="str">
        <f aca="false">IF($A29="","",IF(AND(ISNUMBER(SEARCH("westnetz",$D29)),OR($W29="Relais (potentialfrei)",$W29="Digital + Relais"),$M29="3-Punkt",$AD29="Nein"),Regeln!$E$27,""))</f>
        <v/>
      </c>
      <c r="BF29" s="14" t="str">
        <f aca="false">IF($A29="","",IF(AND(ISNUMBER(SEARCH("westnetz",$D29)),$I29="Ja"),Regeln!$E$28,""))</f>
        <v/>
      </c>
      <c r="BG29" s="14" t="str">
        <f aca="false">IF($A29="","",IF(AND(ISNUMBER(SEARCH("westnetz",$D29)),$H29="Ja"),Regeln!$E$29,""))</f>
        <v/>
      </c>
      <c r="BH29" s="14" t="str">
        <f aca="false">IF($A29="","",IF(AND(ISNUMBER(SEARCH("westnetz",$D29)),OR($W29="Relais (potentialfrei)",$W29="Digital + Relais")),Regeln!$E$30,""))</f>
        <v/>
      </c>
      <c r="BI29" s="15" t="str">
        <f aca="false">IF($A29="","",IF($AG29=0,"Kein Vorhaben",CHOOSE(MAX(AI29:BH29)+1,"Weiterverwendbar","Nachrüsten","Austausch")))</f>
        <v/>
      </c>
      <c r="BJ29" s="16" t="str">
        <f aca="false">IF($A29="","",_xlfn.TEXTJOIN(", ",TRUE(),IF(AI29&lt;&gt;"",AI$3,""),IF(AJ29&lt;&gt;"",AJ$3,""),IF(AK29&lt;&gt;"",AK$3,""),IF(AL29&lt;&gt;"",AL$3,""),IF(AM29&lt;&gt;"",AM$3,""),IF(AN29&lt;&gt;"",AN$3,""),IF(AO29&lt;&gt;"",AO$3,""),IF(AP29&lt;&gt;"",AP$3,""),IF(AQ29&lt;&gt;"",AQ$3,""),IF(AR29&lt;&gt;"",AR$3,""),IF(AS29&lt;&gt;"",AS$3,""),IF(AT29&lt;&gt;"",AT$3,""),IF(AU29&lt;&gt;"",AU$3,""),IF(AV29&lt;&gt;"",AV$3,""),IF(AW29&lt;&gt;"",AW$3,""),IF(AX29&lt;&gt;"",AX$3,""),IF(AY29&lt;&gt;"",AY$3,""),IF(AZ29&lt;&gt;"",AZ$3,""),IF(BA29&lt;&gt;"",BA$3,""),IF(BB29&lt;&gt;"",BB$3,""),IF(BC29&lt;&gt;"",BC$3,""),IF(BD29&lt;&gt;"",BD$3,""),IF(BE29&lt;&gt;"",BE$3,""),IF(BF29&lt;&gt;"",BF$3,""),IF(BG29&lt;&gt;"",BG$3,""),IF(BH29&lt;&gt;"",BH$3,"")))</f>
        <v/>
      </c>
      <c r="BK29" s="15" t="str">
        <f aca="false">IF(OR($A29="",$AE29=""),"",IF(BI29=$AE29,"Ja","Nein"))</f>
        <v/>
      </c>
      <c r="BL29" s="16" t="str">
        <f aca="false">IF($A29="","",IF(NOT(ISNUMBER(SEARCH("westnetz",$D29))),"–",IF($I29="Ja",IF($K29="Modul 2","MK 8 (Kaskade: Z1 SteuVE, Z2 Haushalt)","MK 2 (Überschuss)"),IF($K29="Modul 2","MK 0 + eigener Zählpunkt SteuVE","MK 0"))))</f>
        <v/>
      </c>
    </row>
    <row r="30" customFormat="false" ht="1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9"/>
      <c r="AG30" s="14" t="str">
        <f aca="false">IF($A30="","",COUNTIF($E30:$I30,"Ja"))</f>
        <v/>
      </c>
      <c r="AH30" s="14" t="str">
        <f aca="false">IF($A30="","",IF(AND(COUNTIF($E30:$H30,"Ja")&gt;0,N($J30)&gt;=4.2),"Ja","Nein"))</f>
        <v/>
      </c>
      <c r="AI30" s="14" t="str">
        <f aca="false">IF($A30="","",IF(AND(OR($L30="DIN 43853 Zählertafel ohne Schutzklasse II",$L30="DIN 43853 Norm-Zählertafel (Schutzklasse II)",$L30="DIN 43870 Norm-Zählertafel mit Vorsicherung"),$AG30&gt;0),Regeln!$E$5,""))</f>
        <v/>
      </c>
      <c r="AJ30" s="14" t="str">
        <f aca="false">IF($A30="","",IF(AND(OR($L30="DIN 43870 Zählerschrank, Trennvorrichtung im AAR",$L30="DIN 43870 Zählerschrank, NH-Sicherung im NAR"),OR($AA30="unter 10 mm² oder starr",$AA30="Unbekannt",$AA30=""),$AG30&gt;0),Regeln!$E$6,""))</f>
        <v/>
      </c>
      <c r="AK30" s="14" t="str">
        <f aca="false">IF($A30="","",IF(AND($V30="Nein",$AG30&gt;0),Regeln!$E$7,""))</f>
        <v/>
      </c>
      <c r="AL30" s="14" t="str">
        <f aca="false">IF($A30="","",IF(AND(OR($AH30="Ja",$I30="Ja"),$O30="Nein"),Regeln!$E$8,""))</f>
        <v/>
      </c>
      <c r="AM30" s="14" t="str">
        <f aca="false">IF($A30="","",IF(AND($K30="Modul 2",N($N30)&lt;1),Regeln!$E$9,""))</f>
        <v/>
      </c>
      <c r="AN30" s="14" t="str">
        <f aca="false">IF($A30="","",IF(AND($P30="Nein",$AG30&gt;0,OR(ISNUMBER(SEARCH("westnetz",$D30)),$M30="3-Punkt")),Regeln!$E$10,""))</f>
        <v/>
      </c>
      <c r="AO30" s="14" t="str">
        <f aca="false">IF($A30="","",IF(AND($Q30="Nein",$AG30&gt;0),Regeln!$E$11,""))</f>
        <v/>
      </c>
      <c r="AP30" s="14" t="str">
        <f aca="false">IF($A30="","",IF(AND($R30="1-phasig",OR(N($J30)&gt;4.6,$I30="Ja")),Regeln!$E$12,""))</f>
        <v/>
      </c>
      <c r="AQ30" s="14" t="str">
        <f aca="false">IF($A30="","",IF(OR($U30="Nein",$U30="Unbekannt"),Regeln!$E$13,""))</f>
        <v/>
      </c>
      <c r="AR30" s="14" t="str">
        <f aca="false">IF($A30="","",IF(OR($S30="TN-C",$S30="Unbekannt"),Regeln!$E$14,""))</f>
        <v/>
      </c>
      <c r="AS30" s="14" t="str">
        <f aca="false">IF($A30="","",IF(AND(N($T30)&gt;0,N($T30)&lt;50,$AG30&gt;=2),Regeln!$E$15,""))</f>
        <v/>
      </c>
      <c r="AT30" s="14" t="str">
        <f aca="false">IF($A30="","",IF(AND($E30="Ja",N($J30)&gt;12),Regeln!$E$16,""))</f>
        <v/>
      </c>
      <c r="AU30" s="14" t="str">
        <f aca="false">IF($A30="","",IF($L30="Unbekannt",Regeln!$E$17,""))</f>
        <v/>
      </c>
      <c r="AV30" s="14" t="str">
        <f aca="false">IF($A30="","",IF(AND(OR($L30="DIN 43870 Zählerschrank, Trennvorrichtung im AAR",$L30="DIN 43870 Zählerschrank, NH-Sicherung im NAR"),$AG30&gt;0),Regeln!$E$18,""))</f>
        <v/>
      </c>
      <c r="AW30" s="14" t="str">
        <f aca="false">IF($A30="","",IF(AND(ISNUMBER(SEARCH("westnetz",$D30)),OR($AH30="Ja",$I30="Ja"),$X30="Nein"),Regeln!$E$19,""))</f>
        <v/>
      </c>
      <c r="AX30" s="14" t="str">
        <f aca="false">IF($A30="","",IF(AND(ISNUMBER(SEARCH("westnetz",$D30)),OR($W30="Relais (potentialfrei)",$W30="Digital + Relais",AND($I30="Ja",N($AC30)&gt;=25)),$Y30="Nein"),Regeln!$E$20,""))</f>
        <v/>
      </c>
      <c r="AY30" s="14" t="str">
        <f aca="false">IF($A30="","",IF(AND(ISNUMBER(SEARCH("westnetz",$D30)),OR($W30="Digital (RJ45 / EEBUS)",$W30="Digital + Relais"),$Z30="Nein"),Regeln!$E$21,""))</f>
        <v/>
      </c>
      <c r="AZ30" s="14" t="str">
        <f aca="false">IF($A30="","",IF(AND(ISNUMBER(SEARCH("westnetz",$D30)),N($AB30)&gt;30),Regeln!$E$22,""))</f>
        <v/>
      </c>
      <c r="BA30" s="14" t="str">
        <f aca="false">IF($A30="","",IF(AND($AA30="10 mm² flexibel",N($AB30)*1000/(SQRT(3)*400)&gt;32),Regeln!$E$23,""))</f>
        <v/>
      </c>
      <c r="BB30" s="14" t="str">
        <f aca="false">IF($A30="","",IF(AND(ISNUMBER(SEARCH("westnetz",$D30)),$I30="Ja",N($AC30)&gt;=25),Regeln!$E$24,""))</f>
        <v/>
      </c>
      <c r="BC30" s="14" t="str">
        <f aca="false">IF($A30="","",IF(AND(ISNUMBER(SEARCH("westnetz",$D30)),$I30="Ja",OR($AH30="Ja",N($AC30)&gt;7)),Regeln!$E$25,""))</f>
        <v/>
      </c>
      <c r="BD30" s="14" t="str">
        <f aca="false">IF($A30="","",IF(AND(ISNUMBER(SEARCH("westnetz",$D30)),$AH30="Ja"),Regeln!$E$26,""))</f>
        <v/>
      </c>
      <c r="BE30" s="14" t="str">
        <f aca="false">IF($A30="","",IF(AND(ISNUMBER(SEARCH("westnetz",$D30)),OR($W30="Relais (potentialfrei)",$W30="Digital + Relais"),$M30="3-Punkt",$AD30="Nein"),Regeln!$E$27,""))</f>
        <v/>
      </c>
      <c r="BF30" s="14" t="str">
        <f aca="false">IF($A30="","",IF(AND(ISNUMBER(SEARCH("westnetz",$D30)),$I30="Ja"),Regeln!$E$28,""))</f>
        <v/>
      </c>
      <c r="BG30" s="14" t="str">
        <f aca="false">IF($A30="","",IF(AND(ISNUMBER(SEARCH("westnetz",$D30)),$H30="Ja"),Regeln!$E$29,""))</f>
        <v/>
      </c>
      <c r="BH30" s="14" t="str">
        <f aca="false">IF($A30="","",IF(AND(ISNUMBER(SEARCH("westnetz",$D30)),OR($W30="Relais (potentialfrei)",$W30="Digital + Relais")),Regeln!$E$30,""))</f>
        <v/>
      </c>
      <c r="BI30" s="15" t="str">
        <f aca="false">IF($A30="","",IF($AG30=0,"Kein Vorhaben",CHOOSE(MAX(AI30:BH30)+1,"Weiterverwendbar","Nachrüsten","Austausch")))</f>
        <v/>
      </c>
      <c r="BJ30" s="16" t="str">
        <f aca="false">IF($A30="","",_xlfn.TEXTJOIN(", ",TRUE(),IF(AI30&lt;&gt;"",AI$3,""),IF(AJ30&lt;&gt;"",AJ$3,""),IF(AK30&lt;&gt;"",AK$3,""),IF(AL30&lt;&gt;"",AL$3,""),IF(AM30&lt;&gt;"",AM$3,""),IF(AN30&lt;&gt;"",AN$3,""),IF(AO30&lt;&gt;"",AO$3,""),IF(AP30&lt;&gt;"",AP$3,""),IF(AQ30&lt;&gt;"",AQ$3,""),IF(AR30&lt;&gt;"",AR$3,""),IF(AS30&lt;&gt;"",AS$3,""),IF(AT30&lt;&gt;"",AT$3,""),IF(AU30&lt;&gt;"",AU$3,""),IF(AV30&lt;&gt;"",AV$3,""),IF(AW30&lt;&gt;"",AW$3,""),IF(AX30&lt;&gt;"",AX$3,""),IF(AY30&lt;&gt;"",AY$3,""),IF(AZ30&lt;&gt;"",AZ$3,""),IF(BA30&lt;&gt;"",BA$3,""),IF(BB30&lt;&gt;"",BB$3,""),IF(BC30&lt;&gt;"",BC$3,""),IF(BD30&lt;&gt;"",BD$3,""),IF(BE30&lt;&gt;"",BE$3,""),IF(BF30&lt;&gt;"",BF$3,""),IF(BG30&lt;&gt;"",BG$3,""),IF(BH30&lt;&gt;"",BH$3,"")))</f>
        <v/>
      </c>
      <c r="BK30" s="15" t="str">
        <f aca="false">IF(OR($A30="",$AE30=""),"",IF(BI30=$AE30,"Ja","Nein"))</f>
        <v/>
      </c>
      <c r="BL30" s="16" t="str">
        <f aca="false">IF($A30="","",IF(NOT(ISNUMBER(SEARCH("westnetz",$D30))),"–",IF($I30="Ja",IF($K30="Modul 2","MK 8 (Kaskade: Z1 SteuVE, Z2 Haushalt)","MK 2 (Überschuss)"),IF($K30="Modul 2","MK 0 + eigener Zählpunkt SteuVE","MK 0"))))</f>
        <v/>
      </c>
    </row>
    <row r="31" customFormat="false" ht="1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9"/>
      <c r="AG31" s="14" t="str">
        <f aca="false">IF($A31="","",COUNTIF($E31:$I31,"Ja"))</f>
        <v/>
      </c>
      <c r="AH31" s="14" t="str">
        <f aca="false">IF($A31="","",IF(AND(COUNTIF($E31:$H31,"Ja")&gt;0,N($J31)&gt;=4.2),"Ja","Nein"))</f>
        <v/>
      </c>
      <c r="AI31" s="14" t="str">
        <f aca="false">IF($A31="","",IF(AND(OR($L31="DIN 43853 Zählertafel ohne Schutzklasse II",$L31="DIN 43853 Norm-Zählertafel (Schutzklasse II)",$L31="DIN 43870 Norm-Zählertafel mit Vorsicherung"),$AG31&gt;0),Regeln!$E$5,""))</f>
        <v/>
      </c>
      <c r="AJ31" s="14" t="str">
        <f aca="false">IF($A31="","",IF(AND(OR($L31="DIN 43870 Zählerschrank, Trennvorrichtung im AAR",$L31="DIN 43870 Zählerschrank, NH-Sicherung im NAR"),OR($AA31="unter 10 mm² oder starr",$AA31="Unbekannt",$AA31=""),$AG31&gt;0),Regeln!$E$6,""))</f>
        <v/>
      </c>
      <c r="AK31" s="14" t="str">
        <f aca="false">IF($A31="","",IF(AND($V31="Nein",$AG31&gt;0),Regeln!$E$7,""))</f>
        <v/>
      </c>
      <c r="AL31" s="14" t="str">
        <f aca="false">IF($A31="","",IF(AND(OR($AH31="Ja",$I31="Ja"),$O31="Nein"),Regeln!$E$8,""))</f>
        <v/>
      </c>
      <c r="AM31" s="14" t="str">
        <f aca="false">IF($A31="","",IF(AND($K31="Modul 2",N($N31)&lt;1),Regeln!$E$9,""))</f>
        <v/>
      </c>
      <c r="AN31" s="14" t="str">
        <f aca="false">IF($A31="","",IF(AND($P31="Nein",$AG31&gt;0,OR(ISNUMBER(SEARCH("westnetz",$D31)),$M31="3-Punkt")),Regeln!$E$10,""))</f>
        <v/>
      </c>
      <c r="AO31" s="14" t="str">
        <f aca="false">IF($A31="","",IF(AND($Q31="Nein",$AG31&gt;0),Regeln!$E$11,""))</f>
        <v/>
      </c>
      <c r="AP31" s="14" t="str">
        <f aca="false">IF($A31="","",IF(AND($R31="1-phasig",OR(N($J31)&gt;4.6,$I31="Ja")),Regeln!$E$12,""))</f>
        <v/>
      </c>
      <c r="AQ31" s="14" t="str">
        <f aca="false">IF($A31="","",IF(OR($U31="Nein",$U31="Unbekannt"),Regeln!$E$13,""))</f>
        <v/>
      </c>
      <c r="AR31" s="14" t="str">
        <f aca="false">IF($A31="","",IF(OR($S31="TN-C",$S31="Unbekannt"),Regeln!$E$14,""))</f>
        <v/>
      </c>
      <c r="AS31" s="14" t="str">
        <f aca="false">IF($A31="","",IF(AND(N($T31)&gt;0,N($T31)&lt;50,$AG31&gt;=2),Regeln!$E$15,""))</f>
        <v/>
      </c>
      <c r="AT31" s="14" t="str">
        <f aca="false">IF($A31="","",IF(AND($E31="Ja",N($J31)&gt;12),Regeln!$E$16,""))</f>
        <v/>
      </c>
      <c r="AU31" s="14" t="str">
        <f aca="false">IF($A31="","",IF($L31="Unbekannt",Regeln!$E$17,""))</f>
        <v/>
      </c>
      <c r="AV31" s="14" t="str">
        <f aca="false">IF($A31="","",IF(AND(OR($L31="DIN 43870 Zählerschrank, Trennvorrichtung im AAR",$L31="DIN 43870 Zählerschrank, NH-Sicherung im NAR"),$AG31&gt;0),Regeln!$E$18,""))</f>
        <v/>
      </c>
      <c r="AW31" s="14" t="str">
        <f aca="false">IF($A31="","",IF(AND(ISNUMBER(SEARCH("westnetz",$D31)),OR($AH31="Ja",$I31="Ja"),$X31="Nein"),Regeln!$E$19,""))</f>
        <v/>
      </c>
      <c r="AX31" s="14" t="str">
        <f aca="false">IF($A31="","",IF(AND(ISNUMBER(SEARCH("westnetz",$D31)),OR($W31="Relais (potentialfrei)",$W31="Digital + Relais",AND($I31="Ja",N($AC31)&gt;=25)),$Y31="Nein"),Regeln!$E$20,""))</f>
        <v/>
      </c>
      <c r="AY31" s="14" t="str">
        <f aca="false">IF($A31="","",IF(AND(ISNUMBER(SEARCH("westnetz",$D31)),OR($W31="Digital (RJ45 / EEBUS)",$W31="Digital + Relais"),$Z31="Nein"),Regeln!$E$21,""))</f>
        <v/>
      </c>
      <c r="AZ31" s="14" t="str">
        <f aca="false">IF($A31="","",IF(AND(ISNUMBER(SEARCH("westnetz",$D31)),N($AB31)&gt;30),Regeln!$E$22,""))</f>
        <v/>
      </c>
      <c r="BA31" s="14" t="str">
        <f aca="false">IF($A31="","",IF(AND($AA31="10 mm² flexibel",N($AB31)*1000/(SQRT(3)*400)&gt;32),Regeln!$E$23,""))</f>
        <v/>
      </c>
      <c r="BB31" s="14" t="str">
        <f aca="false">IF($A31="","",IF(AND(ISNUMBER(SEARCH("westnetz",$D31)),$I31="Ja",N($AC31)&gt;=25),Regeln!$E$24,""))</f>
        <v/>
      </c>
      <c r="BC31" s="14" t="str">
        <f aca="false">IF($A31="","",IF(AND(ISNUMBER(SEARCH("westnetz",$D31)),$I31="Ja",OR($AH31="Ja",N($AC31)&gt;7)),Regeln!$E$25,""))</f>
        <v/>
      </c>
      <c r="BD31" s="14" t="str">
        <f aca="false">IF($A31="","",IF(AND(ISNUMBER(SEARCH("westnetz",$D31)),$AH31="Ja"),Regeln!$E$26,""))</f>
        <v/>
      </c>
      <c r="BE31" s="14" t="str">
        <f aca="false">IF($A31="","",IF(AND(ISNUMBER(SEARCH("westnetz",$D31)),OR($W31="Relais (potentialfrei)",$W31="Digital + Relais"),$M31="3-Punkt",$AD31="Nein"),Regeln!$E$27,""))</f>
        <v/>
      </c>
      <c r="BF31" s="14" t="str">
        <f aca="false">IF($A31="","",IF(AND(ISNUMBER(SEARCH("westnetz",$D31)),$I31="Ja"),Regeln!$E$28,""))</f>
        <v/>
      </c>
      <c r="BG31" s="14" t="str">
        <f aca="false">IF($A31="","",IF(AND(ISNUMBER(SEARCH("westnetz",$D31)),$H31="Ja"),Regeln!$E$29,""))</f>
        <v/>
      </c>
      <c r="BH31" s="14" t="str">
        <f aca="false">IF($A31="","",IF(AND(ISNUMBER(SEARCH("westnetz",$D31)),OR($W31="Relais (potentialfrei)",$W31="Digital + Relais")),Regeln!$E$30,""))</f>
        <v/>
      </c>
      <c r="BI31" s="15" t="str">
        <f aca="false">IF($A31="","",IF($AG31=0,"Kein Vorhaben",CHOOSE(MAX(AI31:BH31)+1,"Weiterverwendbar","Nachrüsten","Austausch")))</f>
        <v/>
      </c>
      <c r="BJ31" s="16" t="str">
        <f aca="false">IF($A31="","",_xlfn.TEXTJOIN(", ",TRUE(),IF(AI31&lt;&gt;"",AI$3,""),IF(AJ31&lt;&gt;"",AJ$3,""),IF(AK31&lt;&gt;"",AK$3,""),IF(AL31&lt;&gt;"",AL$3,""),IF(AM31&lt;&gt;"",AM$3,""),IF(AN31&lt;&gt;"",AN$3,""),IF(AO31&lt;&gt;"",AO$3,""),IF(AP31&lt;&gt;"",AP$3,""),IF(AQ31&lt;&gt;"",AQ$3,""),IF(AR31&lt;&gt;"",AR$3,""),IF(AS31&lt;&gt;"",AS$3,""),IF(AT31&lt;&gt;"",AT$3,""),IF(AU31&lt;&gt;"",AU$3,""),IF(AV31&lt;&gt;"",AV$3,""),IF(AW31&lt;&gt;"",AW$3,""),IF(AX31&lt;&gt;"",AX$3,""),IF(AY31&lt;&gt;"",AY$3,""),IF(AZ31&lt;&gt;"",AZ$3,""),IF(BA31&lt;&gt;"",BA$3,""),IF(BB31&lt;&gt;"",BB$3,""),IF(BC31&lt;&gt;"",BC$3,""),IF(BD31&lt;&gt;"",BD$3,""),IF(BE31&lt;&gt;"",BE$3,""),IF(BF31&lt;&gt;"",BF$3,""),IF(BG31&lt;&gt;"",BG$3,""),IF(BH31&lt;&gt;"",BH$3,"")))</f>
        <v/>
      </c>
      <c r="BK31" s="15" t="str">
        <f aca="false">IF(OR($A31="",$AE31=""),"",IF(BI31=$AE31,"Ja","Nein"))</f>
        <v/>
      </c>
      <c r="BL31" s="16" t="str">
        <f aca="false">IF($A31="","",IF(NOT(ISNUMBER(SEARCH("westnetz",$D31))),"–",IF($I31="Ja",IF($K31="Modul 2","MK 8 (Kaskade: Z1 SteuVE, Z2 Haushalt)","MK 2 (Überschuss)"),IF($K31="Modul 2","MK 0 + eigener Zählpunkt SteuVE","MK 0"))))</f>
        <v/>
      </c>
    </row>
    <row r="32" customFormat="false" ht="1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9"/>
      <c r="AG32" s="14" t="str">
        <f aca="false">IF($A32="","",COUNTIF($E32:$I32,"Ja"))</f>
        <v/>
      </c>
      <c r="AH32" s="14" t="str">
        <f aca="false">IF($A32="","",IF(AND(COUNTIF($E32:$H32,"Ja")&gt;0,N($J32)&gt;=4.2),"Ja","Nein"))</f>
        <v/>
      </c>
      <c r="AI32" s="14" t="str">
        <f aca="false">IF($A32="","",IF(AND(OR($L32="DIN 43853 Zählertafel ohne Schutzklasse II",$L32="DIN 43853 Norm-Zählertafel (Schutzklasse II)",$L32="DIN 43870 Norm-Zählertafel mit Vorsicherung"),$AG32&gt;0),Regeln!$E$5,""))</f>
        <v/>
      </c>
      <c r="AJ32" s="14" t="str">
        <f aca="false">IF($A32="","",IF(AND(OR($L32="DIN 43870 Zählerschrank, Trennvorrichtung im AAR",$L32="DIN 43870 Zählerschrank, NH-Sicherung im NAR"),OR($AA32="unter 10 mm² oder starr",$AA32="Unbekannt",$AA32=""),$AG32&gt;0),Regeln!$E$6,""))</f>
        <v/>
      </c>
      <c r="AK32" s="14" t="str">
        <f aca="false">IF($A32="","",IF(AND($V32="Nein",$AG32&gt;0),Regeln!$E$7,""))</f>
        <v/>
      </c>
      <c r="AL32" s="14" t="str">
        <f aca="false">IF($A32="","",IF(AND(OR($AH32="Ja",$I32="Ja"),$O32="Nein"),Regeln!$E$8,""))</f>
        <v/>
      </c>
      <c r="AM32" s="14" t="str">
        <f aca="false">IF($A32="","",IF(AND($K32="Modul 2",N($N32)&lt;1),Regeln!$E$9,""))</f>
        <v/>
      </c>
      <c r="AN32" s="14" t="str">
        <f aca="false">IF($A32="","",IF(AND($P32="Nein",$AG32&gt;0,OR(ISNUMBER(SEARCH("westnetz",$D32)),$M32="3-Punkt")),Regeln!$E$10,""))</f>
        <v/>
      </c>
      <c r="AO32" s="14" t="str">
        <f aca="false">IF($A32="","",IF(AND($Q32="Nein",$AG32&gt;0),Regeln!$E$11,""))</f>
        <v/>
      </c>
      <c r="AP32" s="14" t="str">
        <f aca="false">IF($A32="","",IF(AND($R32="1-phasig",OR(N($J32)&gt;4.6,$I32="Ja")),Regeln!$E$12,""))</f>
        <v/>
      </c>
      <c r="AQ32" s="14" t="str">
        <f aca="false">IF($A32="","",IF(OR($U32="Nein",$U32="Unbekannt"),Regeln!$E$13,""))</f>
        <v/>
      </c>
      <c r="AR32" s="14" t="str">
        <f aca="false">IF($A32="","",IF(OR($S32="TN-C",$S32="Unbekannt"),Regeln!$E$14,""))</f>
        <v/>
      </c>
      <c r="AS32" s="14" t="str">
        <f aca="false">IF($A32="","",IF(AND(N($T32)&gt;0,N($T32)&lt;50,$AG32&gt;=2),Regeln!$E$15,""))</f>
        <v/>
      </c>
      <c r="AT32" s="14" t="str">
        <f aca="false">IF($A32="","",IF(AND($E32="Ja",N($J32)&gt;12),Regeln!$E$16,""))</f>
        <v/>
      </c>
      <c r="AU32" s="14" t="str">
        <f aca="false">IF($A32="","",IF($L32="Unbekannt",Regeln!$E$17,""))</f>
        <v/>
      </c>
      <c r="AV32" s="14" t="str">
        <f aca="false">IF($A32="","",IF(AND(OR($L32="DIN 43870 Zählerschrank, Trennvorrichtung im AAR",$L32="DIN 43870 Zählerschrank, NH-Sicherung im NAR"),$AG32&gt;0),Regeln!$E$18,""))</f>
        <v/>
      </c>
      <c r="AW32" s="14" t="str">
        <f aca="false">IF($A32="","",IF(AND(ISNUMBER(SEARCH("westnetz",$D32)),OR($AH32="Ja",$I32="Ja"),$X32="Nein"),Regeln!$E$19,""))</f>
        <v/>
      </c>
      <c r="AX32" s="14" t="str">
        <f aca="false">IF($A32="","",IF(AND(ISNUMBER(SEARCH("westnetz",$D32)),OR($W32="Relais (potentialfrei)",$W32="Digital + Relais",AND($I32="Ja",N($AC32)&gt;=25)),$Y32="Nein"),Regeln!$E$20,""))</f>
        <v/>
      </c>
      <c r="AY32" s="14" t="str">
        <f aca="false">IF($A32="","",IF(AND(ISNUMBER(SEARCH("westnetz",$D32)),OR($W32="Digital (RJ45 / EEBUS)",$W32="Digital + Relais"),$Z32="Nein"),Regeln!$E$21,""))</f>
        <v/>
      </c>
      <c r="AZ32" s="14" t="str">
        <f aca="false">IF($A32="","",IF(AND(ISNUMBER(SEARCH("westnetz",$D32)),N($AB32)&gt;30),Regeln!$E$22,""))</f>
        <v/>
      </c>
      <c r="BA32" s="14" t="str">
        <f aca="false">IF($A32="","",IF(AND($AA32="10 mm² flexibel",N($AB32)*1000/(SQRT(3)*400)&gt;32),Regeln!$E$23,""))</f>
        <v/>
      </c>
      <c r="BB32" s="14" t="str">
        <f aca="false">IF($A32="","",IF(AND(ISNUMBER(SEARCH("westnetz",$D32)),$I32="Ja",N($AC32)&gt;=25),Regeln!$E$24,""))</f>
        <v/>
      </c>
      <c r="BC32" s="14" t="str">
        <f aca="false">IF($A32="","",IF(AND(ISNUMBER(SEARCH("westnetz",$D32)),$I32="Ja",OR($AH32="Ja",N($AC32)&gt;7)),Regeln!$E$25,""))</f>
        <v/>
      </c>
      <c r="BD32" s="14" t="str">
        <f aca="false">IF($A32="","",IF(AND(ISNUMBER(SEARCH("westnetz",$D32)),$AH32="Ja"),Regeln!$E$26,""))</f>
        <v/>
      </c>
      <c r="BE32" s="14" t="str">
        <f aca="false">IF($A32="","",IF(AND(ISNUMBER(SEARCH("westnetz",$D32)),OR($W32="Relais (potentialfrei)",$W32="Digital + Relais"),$M32="3-Punkt",$AD32="Nein"),Regeln!$E$27,""))</f>
        <v/>
      </c>
      <c r="BF32" s="14" t="str">
        <f aca="false">IF($A32="","",IF(AND(ISNUMBER(SEARCH("westnetz",$D32)),$I32="Ja"),Regeln!$E$28,""))</f>
        <v/>
      </c>
      <c r="BG32" s="14" t="str">
        <f aca="false">IF($A32="","",IF(AND(ISNUMBER(SEARCH("westnetz",$D32)),$H32="Ja"),Regeln!$E$29,""))</f>
        <v/>
      </c>
      <c r="BH32" s="14" t="str">
        <f aca="false">IF($A32="","",IF(AND(ISNUMBER(SEARCH("westnetz",$D32)),OR($W32="Relais (potentialfrei)",$W32="Digital + Relais")),Regeln!$E$30,""))</f>
        <v/>
      </c>
      <c r="BI32" s="15" t="str">
        <f aca="false">IF($A32="","",IF($AG32=0,"Kein Vorhaben",CHOOSE(MAX(AI32:BH32)+1,"Weiterverwendbar","Nachrüsten","Austausch")))</f>
        <v/>
      </c>
      <c r="BJ32" s="16" t="str">
        <f aca="false">IF($A32="","",_xlfn.TEXTJOIN(", ",TRUE(),IF(AI32&lt;&gt;"",AI$3,""),IF(AJ32&lt;&gt;"",AJ$3,""),IF(AK32&lt;&gt;"",AK$3,""),IF(AL32&lt;&gt;"",AL$3,""),IF(AM32&lt;&gt;"",AM$3,""),IF(AN32&lt;&gt;"",AN$3,""),IF(AO32&lt;&gt;"",AO$3,""),IF(AP32&lt;&gt;"",AP$3,""),IF(AQ32&lt;&gt;"",AQ$3,""),IF(AR32&lt;&gt;"",AR$3,""),IF(AS32&lt;&gt;"",AS$3,""),IF(AT32&lt;&gt;"",AT$3,""),IF(AU32&lt;&gt;"",AU$3,""),IF(AV32&lt;&gt;"",AV$3,""),IF(AW32&lt;&gt;"",AW$3,""),IF(AX32&lt;&gt;"",AX$3,""),IF(AY32&lt;&gt;"",AY$3,""),IF(AZ32&lt;&gt;"",AZ$3,""),IF(BA32&lt;&gt;"",BA$3,""),IF(BB32&lt;&gt;"",BB$3,""),IF(BC32&lt;&gt;"",BC$3,""),IF(BD32&lt;&gt;"",BD$3,""),IF(BE32&lt;&gt;"",BE$3,""),IF(BF32&lt;&gt;"",BF$3,""),IF(BG32&lt;&gt;"",BG$3,""),IF(BH32&lt;&gt;"",BH$3,"")))</f>
        <v/>
      </c>
      <c r="BK32" s="15" t="str">
        <f aca="false">IF(OR($A32="",$AE32=""),"",IF(BI32=$AE32,"Ja","Nein"))</f>
        <v/>
      </c>
      <c r="BL32" s="16" t="str">
        <f aca="false">IF($A32="","",IF(NOT(ISNUMBER(SEARCH("westnetz",$D32))),"–",IF($I32="Ja",IF($K32="Modul 2","MK 8 (Kaskade: Z1 SteuVE, Z2 Haushalt)","MK 2 (Überschuss)"),IF($K32="Modul 2","MK 0 + eigener Zählpunkt SteuVE","MK 0"))))</f>
        <v/>
      </c>
    </row>
    <row r="33" customFormat="false" ht="1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9"/>
      <c r="AG33" s="14" t="str">
        <f aca="false">IF($A33="","",COUNTIF($E33:$I33,"Ja"))</f>
        <v/>
      </c>
      <c r="AH33" s="14" t="str">
        <f aca="false">IF($A33="","",IF(AND(COUNTIF($E33:$H33,"Ja")&gt;0,N($J33)&gt;=4.2),"Ja","Nein"))</f>
        <v/>
      </c>
      <c r="AI33" s="14" t="str">
        <f aca="false">IF($A33="","",IF(AND(OR($L33="DIN 43853 Zählertafel ohne Schutzklasse II",$L33="DIN 43853 Norm-Zählertafel (Schutzklasse II)",$L33="DIN 43870 Norm-Zählertafel mit Vorsicherung"),$AG33&gt;0),Regeln!$E$5,""))</f>
        <v/>
      </c>
      <c r="AJ33" s="14" t="str">
        <f aca="false">IF($A33="","",IF(AND(OR($L33="DIN 43870 Zählerschrank, Trennvorrichtung im AAR",$L33="DIN 43870 Zählerschrank, NH-Sicherung im NAR"),OR($AA33="unter 10 mm² oder starr",$AA33="Unbekannt",$AA33=""),$AG33&gt;0),Regeln!$E$6,""))</f>
        <v/>
      </c>
      <c r="AK33" s="14" t="str">
        <f aca="false">IF($A33="","",IF(AND($V33="Nein",$AG33&gt;0),Regeln!$E$7,""))</f>
        <v/>
      </c>
      <c r="AL33" s="14" t="str">
        <f aca="false">IF($A33="","",IF(AND(OR($AH33="Ja",$I33="Ja"),$O33="Nein"),Regeln!$E$8,""))</f>
        <v/>
      </c>
      <c r="AM33" s="14" t="str">
        <f aca="false">IF($A33="","",IF(AND($K33="Modul 2",N($N33)&lt;1),Regeln!$E$9,""))</f>
        <v/>
      </c>
      <c r="AN33" s="14" t="str">
        <f aca="false">IF($A33="","",IF(AND($P33="Nein",$AG33&gt;0,OR(ISNUMBER(SEARCH("westnetz",$D33)),$M33="3-Punkt")),Regeln!$E$10,""))</f>
        <v/>
      </c>
      <c r="AO33" s="14" t="str">
        <f aca="false">IF($A33="","",IF(AND($Q33="Nein",$AG33&gt;0),Regeln!$E$11,""))</f>
        <v/>
      </c>
      <c r="AP33" s="14" t="str">
        <f aca="false">IF($A33="","",IF(AND($R33="1-phasig",OR(N($J33)&gt;4.6,$I33="Ja")),Regeln!$E$12,""))</f>
        <v/>
      </c>
      <c r="AQ33" s="14" t="str">
        <f aca="false">IF($A33="","",IF(OR($U33="Nein",$U33="Unbekannt"),Regeln!$E$13,""))</f>
        <v/>
      </c>
      <c r="AR33" s="14" t="str">
        <f aca="false">IF($A33="","",IF(OR($S33="TN-C",$S33="Unbekannt"),Regeln!$E$14,""))</f>
        <v/>
      </c>
      <c r="AS33" s="14" t="str">
        <f aca="false">IF($A33="","",IF(AND(N($T33)&gt;0,N($T33)&lt;50,$AG33&gt;=2),Regeln!$E$15,""))</f>
        <v/>
      </c>
      <c r="AT33" s="14" t="str">
        <f aca="false">IF($A33="","",IF(AND($E33="Ja",N($J33)&gt;12),Regeln!$E$16,""))</f>
        <v/>
      </c>
      <c r="AU33" s="14" t="str">
        <f aca="false">IF($A33="","",IF($L33="Unbekannt",Regeln!$E$17,""))</f>
        <v/>
      </c>
      <c r="AV33" s="14" t="str">
        <f aca="false">IF($A33="","",IF(AND(OR($L33="DIN 43870 Zählerschrank, Trennvorrichtung im AAR",$L33="DIN 43870 Zählerschrank, NH-Sicherung im NAR"),$AG33&gt;0),Regeln!$E$18,""))</f>
        <v/>
      </c>
      <c r="AW33" s="14" t="str">
        <f aca="false">IF($A33="","",IF(AND(ISNUMBER(SEARCH("westnetz",$D33)),OR($AH33="Ja",$I33="Ja"),$X33="Nein"),Regeln!$E$19,""))</f>
        <v/>
      </c>
      <c r="AX33" s="14" t="str">
        <f aca="false">IF($A33="","",IF(AND(ISNUMBER(SEARCH("westnetz",$D33)),OR($W33="Relais (potentialfrei)",$W33="Digital + Relais",AND($I33="Ja",N($AC33)&gt;=25)),$Y33="Nein"),Regeln!$E$20,""))</f>
        <v/>
      </c>
      <c r="AY33" s="14" t="str">
        <f aca="false">IF($A33="","",IF(AND(ISNUMBER(SEARCH("westnetz",$D33)),OR($W33="Digital (RJ45 / EEBUS)",$W33="Digital + Relais"),$Z33="Nein"),Regeln!$E$21,""))</f>
        <v/>
      </c>
      <c r="AZ33" s="14" t="str">
        <f aca="false">IF($A33="","",IF(AND(ISNUMBER(SEARCH("westnetz",$D33)),N($AB33)&gt;30),Regeln!$E$22,""))</f>
        <v/>
      </c>
      <c r="BA33" s="14" t="str">
        <f aca="false">IF($A33="","",IF(AND($AA33="10 mm² flexibel",N($AB33)*1000/(SQRT(3)*400)&gt;32),Regeln!$E$23,""))</f>
        <v/>
      </c>
      <c r="BB33" s="14" t="str">
        <f aca="false">IF($A33="","",IF(AND(ISNUMBER(SEARCH("westnetz",$D33)),$I33="Ja",N($AC33)&gt;=25),Regeln!$E$24,""))</f>
        <v/>
      </c>
      <c r="BC33" s="14" t="str">
        <f aca="false">IF($A33="","",IF(AND(ISNUMBER(SEARCH("westnetz",$D33)),$I33="Ja",OR($AH33="Ja",N($AC33)&gt;7)),Regeln!$E$25,""))</f>
        <v/>
      </c>
      <c r="BD33" s="14" t="str">
        <f aca="false">IF($A33="","",IF(AND(ISNUMBER(SEARCH("westnetz",$D33)),$AH33="Ja"),Regeln!$E$26,""))</f>
        <v/>
      </c>
      <c r="BE33" s="14" t="str">
        <f aca="false">IF($A33="","",IF(AND(ISNUMBER(SEARCH("westnetz",$D33)),OR($W33="Relais (potentialfrei)",$W33="Digital + Relais"),$M33="3-Punkt",$AD33="Nein"),Regeln!$E$27,""))</f>
        <v/>
      </c>
      <c r="BF33" s="14" t="str">
        <f aca="false">IF($A33="","",IF(AND(ISNUMBER(SEARCH("westnetz",$D33)),$I33="Ja"),Regeln!$E$28,""))</f>
        <v/>
      </c>
      <c r="BG33" s="14" t="str">
        <f aca="false">IF($A33="","",IF(AND(ISNUMBER(SEARCH("westnetz",$D33)),$H33="Ja"),Regeln!$E$29,""))</f>
        <v/>
      </c>
      <c r="BH33" s="14" t="str">
        <f aca="false">IF($A33="","",IF(AND(ISNUMBER(SEARCH("westnetz",$D33)),OR($W33="Relais (potentialfrei)",$W33="Digital + Relais")),Regeln!$E$30,""))</f>
        <v/>
      </c>
      <c r="BI33" s="15" t="str">
        <f aca="false">IF($A33="","",IF($AG33=0,"Kein Vorhaben",CHOOSE(MAX(AI33:BH33)+1,"Weiterverwendbar","Nachrüsten","Austausch")))</f>
        <v/>
      </c>
      <c r="BJ33" s="16" t="str">
        <f aca="false">IF($A33="","",_xlfn.TEXTJOIN(", ",TRUE(),IF(AI33&lt;&gt;"",AI$3,""),IF(AJ33&lt;&gt;"",AJ$3,""),IF(AK33&lt;&gt;"",AK$3,""),IF(AL33&lt;&gt;"",AL$3,""),IF(AM33&lt;&gt;"",AM$3,""),IF(AN33&lt;&gt;"",AN$3,""),IF(AO33&lt;&gt;"",AO$3,""),IF(AP33&lt;&gt;"",AP$3,""),IF(AQ33&lt;&gt;"",AQ$3,""),IF(AR33&lt;&gt;"",AR$3,""),IF(AS33&lt;&gt;"",AS$3,""),IF(AT33&lt;&gt;"",AT$3,""),IF(AU33&lt;&gt;"",AU$3,""),IF(AV33&lt;&gt;"",AV$3,""),IF(AW33&lt;&gt;"",AW$3,""),IF(AX33&lt;&gt;"",AX$3,""),IF(AY33&lt;&gt;"",AY$3,""),IF(AZ33&lt;&gt;"",AZ$3,""),IF(BA33&lt;&gt;"",BA$3,""),IF(BB33&lt;&gt;"",BB$3,""),IF(BC33&lt;&gt;"",BC$3,""),IF(BD33&lt;&gt;"",BD$3,""),IF(BE33&lt;&gt;"",BE$3,""),IF(BF33&lt;&gt;"",BF$3,""),IF(BG33&lt;&gt;"",BG$3,""),IF(BH33&lt;&gt;"",BH$3,"")))</f>
        <v/>
      </c>
      <c r="BK33" s="15" t="str">
        <f aca="false">IF(OR($A33="",$AE33=""),"",IF(BI33=$AE33,"Ja","Nein"))</f>
        <v/>
      </c>
      <c r="BL33" s="16" t="str">
        <f aca="false">IF($A33="","",IF(NOT(ISNUMBER(SEARCH("westnetz",$D33))),"–",IF($I33="Ja",IF($K33="Modul 2","MK 8 (Kaskade: Z1 SteuVE, Z2 Haushalt)","MK 2 (Überschuss)"),IF($K33="Modul 2","MK 0 + eigener Zählpunkt SteuVE","MK 0"))))</f>
        <v/>
      </c>
    </row>
    <row r="34" customFormat="false" ht="1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9"/>
      <c r="AG34" s="14" t="str">
        <f aca="false">IF($A34="","",COUNTIF($E34:$I34,"Ja"))</f>
        <v/>
      </c>
      <c r="AH34" s="14" t="str">
        <f aca="false">IF($A34="","",IF(AND(COUNTIF($E34:$H34,"Ja")&gt;0,N($J34)&gt;=4.2),"Ja","Nein"))</f>
        <v/>
      </c>
      <c r="AI34" s="14" t="str">
        <f aca="false">IF($A34="","",IF(AND(OR($L34="DIN 43853 Zählertafel ohne Schutzklasse II",$L34="DIN 43853 Norm-Zählertafel (Schutzklasse II)",$L34="DIN 43870 Norm-Zählertafel mit Vorsicherung"),$AG34&gt;0),Regeln!$E$5,""))</f>
        <v/>
      </c>
      <c r="AJ34" s="14" t="str">
        <f aca="false">IF($A34="","",IF(AND(OR($L34="DIN 43870 Zählerschrank, Trennvorrichtung im AAR",$L34="DIN 43870 Zählerschrank, NH-Sicherung im NAR"),OR($AA34="unter 10 mm² oder starr",$AA34="Unbekannt",$AA34=""),$AG34&gt;0),Regeln!$E$6,""))</f>
        <v/>
      </c>
      <c r="AK34" s="14" t="str">
        <f aca="false">IF($A34="","",IF(AND($V34="Nein",$AG34&gt;0),Regeln!$E$7,""))</f>
        <v/>
      </c>
      <c r="AL34" s="14" t="str">
        <f aca="false">IF($A34="","",IF(AND(OR($AH34="Ja",$I34="Ja"),$O34="Nein"),Regeln!$E$8,""))</f>
        <v/>
      </c>
      <c r="AM34" s="14" t="str">
        <f aca="false">IF($A34="","",IF(AND($K34="Modul 2",N($N34)&lt;1),Regeln!$E$9,""))</f>
        <v/>
      </c>
      <c r="AN34" s="14" t="str">
        <f aca="false">IF($A34="","",IF(AND($P34="Nein",$AG34&gt;0,OR(ISNUMBER(SEARCH("westnetz",$D34)),$M34="3-Punkt")),Regeln!$E$10,""))</f>
        <v/>
      </c>
      <c r="AO34" s="14" t="str">
        <f aca="false">IF($A34="","",IF(AND($Q34="Nein",$AG34&gt;0),Regeln!$E$11,""))</f>
        <v/>
      </c>
      <c r="AP34" s="14" t="str">
        <f aca="false">IF($A34="","",IF(AND($R34="1-phasig",OR(N($J34)&gt;4.6,$I34="Ja")),Regeln!$E$12,""))</f>
        <v/>
      </c>
      <c r="AQ34" s="14" t="str">
        <f aca="false">IF($A34="","",IF(OR($U34="Nein",$U34="Unbekannt"),Regeln!$E$13,""))</f>
        <v/>
      </c>
      <c r="AR34" s="14" t="str">
        <f aca="false">IF($A34="","",IF(OR($S34="TN-C",$S34="Unbekannt"),Regeln!$E$14,""))</f>
        <v/>
      </c>
      <c r="AS34" s="14" t="str">
        <f aca="false">IF($A34="","",IF(AND(N($T34)&gt;0,N($T34)&lt;50,$AG34&gt;=2),Regeln!$E$15,""))</f>
        <v/>
      </c>
      <c r="AT34" s="14" t="str">
        <f aca="false">IF($A34="","",IF(AND($E34="Ja",N($J34)&gt;12),Regeln!$E$16,""))</f>
        <v/>
      </c>
      <c r="AU34" s="14" t="str">
        <f aca="false">IF($A34="","",IF($L34="Unbekannt",Regeln!$E$17,""))</f>
        <v/>
      </c>
      <c r="AV34" s="14" t="str">
        <f aca="false">IF($A34="","",IF(AND(OR($L34="DIN 43870 Zählerschrank, Trennvorrichtung im AAR",$L34="DIN 43870 Zählerschrank, NH-Sicherung im NAR"),$AG34&gt;0),Regeln!$E$18,""))</f>
        <v/>
      </c>
      <c r="AW34" s="14" t="str">
        <f aca="false">IF($A34="","",IF(AND(ISNUMBER(SEARCH("westnetz",$D34)),OR($AH34="Ja",$I34="Ja"),$X34="Nein"),Regeln!$E$19,""))</f>
        <v/>
      </c>
      <c r="AX34" s="14" t="str">
        <f aca="false">IF($A34="","",IF(AND(ISNUMBER(SEARCH("westnetz",$D34)),OR($W34="Relais (potentialfrei)",$W34="Digital + Relais",AND($I34="Ja",N($AC34)&gt;=25)),$Y34="Nein"),Regeln!$E$20,""))</f>
        <v/>
      </c>
      <c r="AY34" s="14" t="str">
        <f aca="false">IF($A34="","",IF(AND(ISNUMBER(SEARCH("westnetz",$D34)),OR($W34="Digital (RJ45 / EEBUS)",$W34="Digital + Relais"),$Z34="Nein"),Regeln!$E$21,""))</f>
        <v/>
      </c>
      <c r="AZ34" s="14" t="str">
        <f aca="false">IF($A34="","",IF(AND(ISNUMBER(SEARCH("westnetz",$D34)),N($AB34)&gt;30),Regeln!$E$22,""))</f>
        <v/>
      </c>
      <c r="BA34" s="14" t="str">
        <f aca="false">IF($A34="","",IF(AND($AA34="10 mm² flexibel",N($AB34)*1000/(SQRT(3)*400)&gt;32),Regeln!$E$23,""))</f>
        <v/>
      </c>
      <c r="BB34" s="14" t="str">
        <f aca="false">IF($A34="","",IF(AND(ISNUMBER(SEARCH("westnetz",$D34)),$I34="Ja",N($AC34)&gt;=25),Regeln!$E$24,""))</f>
        <v/>
      </c>
      <c r="BC34" s="14" t="str">
        <f aca="false">IF($A34="","",IF(AND(ISNUMBER(SEARCH("westnetz",$D34)),$I34="Ja",OR($AH34="Ja",N($AC34)&gt;7)),Regeln!$E$25,""))</f>
        <v/>
      </c>
      <c r="BD34" s="14" t="str">
        <f aca="false">IF($A34="","",IF(AND(ISNUMBER(SEARCH("westnetz",$D34)),$AH34="Ja"),Regeln!$E$26,""))</f>
        <v/>
      </c>
      <c r="BE34" s="14" t="str">
        <f aca="false">IF($A34="","",IF(AND(ISNUMBER(SEARCH("westnetz",$D34)),OR($W34="Relais (potentialfrei)",$W34="Digital + Relais"),$M34="3-Punkt",$AD34="Nein"),Regeln!$E$27,""))</f>
        <v/>
      </c>
      <c r="BF34" s="14" t="str">
        <f aca="false">IF($A34="","",IF(AND(ISNUMBER(SEARCH("westnetz",$D34)),$I34="Ja"),Regeln!$E$28,""))</f>
        <v/>
      </c>
      <c r="BG34" s="14" t="str">
        <f aca="false">IF($A34="","",IF(AND(ISNUMBER(SEARCH("westnetz",$D34)),$H34="Ja"),Regeln!$E$29,""))</f>
        <v/>
      </c>
      <c r="BH34" s="14" t="str">
        <f aca="false">IF($A34="","",IF(AND(ISNUMBER(SEARCH("westnetz",$D34)),OR($W34="Relais (potentialfrei)",$W34="Digital + Relais")),Regeln!$E$30,""))</f>
        <v/>
      </c>
      <c r="BI34" s="15" t="str">
        <f aca="false">IF($A34="","",IF($AG34=0,"Kein Vorhaben",CHOOSE(MAX(AI34:BH34)+1,"Weiterverwendbar","Nachrüsten","Austausch")))</f>
        <v/>
      </c>
      <c r="BJ34" s="16" t="str">
        <f aca="false">IF($A34="","",_xlfn.TEXTJOIN(", ",TRUE(),IF(AI34&lt;&gt;"",AI$3,""),IF(AJ34&lt;&gt;"",AJ$3,""),IF(AK34&lt;&gt;"",AK$3,""),IF(AL34&lt;&gt;"",AL$3,""),IF(AM34&lt;&gt;"",AM$3,""),IF(AN34&lt;&gt;"",AN$3,""),IF(AO34&lt;&gt;"",AO$3,""),IF(AP34&lt;&gt;"",AP$3,""),IF(AQ34&lt;&gt;"",AQ$3,""),IF(AR34&lt;&gt;"",AR$3,""),IF(AS34&lt;&gt;"",AS$3,""),IF(AT34&lt;&gt;"",AT$3,""),IF(AU34&lt;&gt;"",AU$3,""),IF(AV34&lt;&gt;"",AV$3,""),IF(AW34&lt;&gt;"",AW$3,""),IF(AX34&lt;&gt;"",AX$3,""),IF(AY34&lt;&gt;"",AY$3,""),IF(AZ34&lt;&gt;"",AZ$3,""),IF(BA34&lt;&gt;"",BA$3,""),IF(BB34&lt;&gt;"",BB$3,""),IF(BC34&lt;&gt;"",BC$3,""),IF(BD34&lt;&gt;"",BD$3,""),IF(BE34&lt;&gt;"",BE$3,""),IF(BF34&lt;&gt;"",BF$3,""),IF(BG34&lt;&gt;"",BG$3,""),IF(BH34&lt;&gt;"",BH$3,"")))</f>
        <v/>
      </c>
      <c r="BK34" s="15" t="str">
        <f aca="false">IF(OR($A34="",$AE34=""),"",IF(BI34=$AE34,"Ja","Nein"))</f>
        <v/>
      </c>
      <c r="BL34" s="16" t="str">
        <f aca="false">IF($A34="","",IF(NOT(ISNUMBER(SEARCH("westnetz",$D34))),"–",IF($I34="Ja",IF($K34="Modul 2","MK 8 (Kaskade: Z1 SteuVE, Z2 Haushalt)","MK 2 (Überschuss)"),IF($K34="Modul 2","MK 0 + eigener Zählpunkt SteuVE","MK 0"))))</f>
        <v/>
      </c>
    </row>
    <row r="35" customFormat="false" ht="1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9"/>
      <c r="AG35" s="14" t="str">
        <f aca="false">IF($A35="","",COUNTIF($E35:$I35,"Ja"))</f>
        <v/>
      </c>
      <c r="AH35" s="14" t="str">
        <f aca="false">IF($A35="","",IF(AND(COUNTIF($E35:$H35,"Ja")&gt;0,N($J35)&gt;=4.2),"Ja","Nein"))</f>
        <v/>
      </c>
      <c r="AI35" s="14" t="str">
        <f aca="false">IF($A35="","",IF(AND(OR($L35="DIN 43853 Zählertafel ohne Schutzklasse II",$L35="DIN 43853 Norm-Zählertafel (Schutzklasse II)",$L35="DIN 43870 Norm-Zählertafel mit Vorsicherung"),$AG35&gt;0),Regeln!$E$5,""))</f>
        <v/>
      </c>
      <c r="AJ35" s="14" t="str">
        <f aca="false">IF($A35="","",IF(AND(OR($L35="DIN 43870 Zählerschrank, Trennvorrichtung im AAR",$L35="DIN 43870 Zählerschrank, NH-Sicherung im NAR"),OR($AA35="unter 10 mm² oder starr",$AA35="Unbekannt",$AA35=""),$AG35&gt;0),Regeln!$E$6,""))</f>
        <v/>
      </c>
      <c r="AK35" s="14" t="str">
        <f aca="false">IF($A35="","",IF(AND($V35="Nein",$AG35&gt;0),Regeln!$E$7,""))</f>
        <v/>
      </c>
      <c r="AL35" s="14" t="str">
        <f aca="false">IF($A35="","",IF(AND(OR($AH35="Ja",$I35="Ja"),$O35="Nein"),Regeln!$E$8,""))</f>
        <v/>
      </c>
      <c r="AM35" s="14" t="str">
        <f aca="false">IF($A35="","",IF(AND($K35="Modul 2",N($N35)&lt;1),Regeln!$E$9,""))</f>
        <v/>
      </c>
      <c r="AN35" s="14" t="str">
        <f aca="false">IF($A35="","",IF(AND($P35="Nein",$AG35&gt;0,OR(ISNUMBER(SEARCH("westnetz",$D35)),$M35="3-Punkt")),Regeln!$E$10,""))</f>
        <v/>
      </c>
      <c r="AO35" s="14" t="str">
        <f aca="false">IF($A35="","",IF(AND($Q35="Nein",$AG35&gt;0),Regeln!$E$11,""))</f>
        <v/>
      </c>
      <c r="AP35" s="14" t="str">
        <f aca="false">IF($A35="","",IF(AND($R35="1-phasig",OR(N($J35)&gt;4.6,$I35="Ja")),Regeln!$E$12,""))</f>
        <v/>
      </c>
      <c r="AQ35" s="14" t="str">
        <f aca="false">IF($A35="","",IF(OR($U35="Nein",$U35="Unbekannt"),Regeln!$E$13,""))</f>
        <v/>
      </c>
      <c r="AR35" s="14" t="str">
        <f aca="false">IF($A35="","",IF(OR($S35="TN-C",$S35="Unbekannt"),Regeln!$E$14,""))</f>
        <v/>
      </c>
      <c r="AS35" s="14" t="str">
        <f aca="false">IF($A35="","",IF(AND(N($T35)&gt;0,N($T35)&lt;50,$AG35&gt;=2),Regeln!$E$15,""))</f>
        <v/>
      </c>
      <c r="AT35" s="14" t="str">
        <f aca="false">IF($A35="","",IF(AND($E35="Ja",N($J35)&gt;12),Regeln!$E$16,""))</f>
        <v/>
      </c>
      <c r="AU35" s="14" t="str">
        <f aca="false">IF($A35="","",IF($L35="Unbekannt",Regeln!$E$17,""))</f>
        <v/>
      </c>
      <c r="AV35" s="14" t="str">
        <f aca="false">IF($A35="","",IF(AND(OR($L35="DIN 43870 Zählerschrank, Trennvorrichtung im AAR",$L35="DIN 43870 Zählerschrank, NH-Sicherung im NAR"),$AG35&gt;0),Regeln!$E$18,""))</f>
        <v/>
      </c>
      <c r="AW35" s="14" t="str">
        <f aca="false">IF($A35="","",IF(AND(ISNUMBER(SEARCH("westnetz",$D35)),OR($AH35="Ja",$I35="Ja"),$X35="Nein"),Regeln!$E$19,""))</f>
        <v/>
      </c>
      <c r="AX35" s="14" t="str">
        <f aca="false">IF($A35="","",IF(AND(ISNUMBER(SEARCH("westnetz",$D35)),OR($W35="Relais (potentialfrei)",$W35="Digital + Relais",AND($I35="Ja",N($AC35)&gt;=25)),$Y35="Nein"),Regeln!$E$20,""))</f>
        <v/>
      </c>
      <c r="AY35" s="14" t="str">
        <f aca="false">IF($A35="","",IF(AND(ISNUMBER(SEARCH("westnetz",$D35)),OR($W35="Digital (RJ45 / EEBUS)",$W35="Digital + Relais"),$Z35="Nein"),Regeln!$E$21,""))</f>
        <v/>
      </c>
      <c r="AZ35" s="14" t="str">
        <f aca="false">IF($A35="","",IF(AND(ISNUMBER(SEARCH("westnetz",$D35)),N($AB35)&gt;30),Regeln!$E$22,""))</f>
        <v/>
      </c>
      <c r="BA35" s="14" t="str">
        <f aca="false">IF($A35="","",IF(AND($AA35="10 mm² flexibel",N($AB35)*1000/(SQRT(3)*400)&gt;32),Regeln!$E$23,""))</f>
        <v/>
      </c>
      <c r="BB35" s="14" t="str">
        <f aca="false">IF($A35="","",IF(AND(ISNUMBER(SEARCH("westnetz",$D35)),$I35="Ja",N($AC35)&gt;=25),Regeln!$E$24,""))</f>
        <v/>
      </c>
      <c r="BC35" s="14" t="str">
        <f aca="false">IF($A35="","",IF(AND(ISNUMBER(SEARCH("westnetz",$D35)),$I35="Ja",OR($AH35="Ja",N($AC35)&gt;7)),Regeln!$E$25,""))</f>
        <v/>
      </c>
      <c r="BD35" s="14" t="str">
        <f aca="false">IF($A35="","",IF(AND(ISNUMBER(SEARCH("westnetz",$D35)),$AH35="Ja"),Regeln!$E$26,""))</f>
        <v/>
      </c>
      <c r="BE35" s="14" t="str">
        <f aca="false">IF($A35="","",IF(AND(ISNUMBER(SEARCH("westnetz",$D35)),OR($W35="Relais (potentialfrei)",$W35="Digital + Relais"),$M35="3-Punkt",$AD35="Nein"),Regeln!$E$27,""))</f>
        <v/>
      </c>
      <c r="BF35" s="14" t="str">
        <f aca="false">IF($A35="","",IF(AND(ISNUMBER(SEARCH("westnetz",$D35)),$I35="Ja"),Regeln!$E$28,""))</f>
        <v/>
      </c>
      <c r="BG35" s="14" t="str">
        <f aca="false">IF($A35="","",IF(AND(ISNUMBER(SEARCH("westnetz",$D35)),$H35="Ja"),Regeln!$E$29,""))</f>
        <v/>
      </c>
      <c r="BH35" s="14" t="str">
        <f aca="false">IF($A35="","",IF(AND(ISNUMBER(SEARCH("westnetz",$D35)),OR($W35="Relais (potentialfrei)",$W35="Digital + Relais")),Regeln!$E$30,""))</f>
        <v/>
      </c>
      <c r="BI35" s="15" t="str">
        <f aca="false">IF($A35="","",IF($AG35=0,"Kein Vorhaben",CHOOSE(MAX(AI35:BH35)+1,"Weiterverwendbar","Nachrüsten","Austausch")))</f>
        <v/>
      </c>
      <c r="BJ35" s="16" t="str">
        <f aca="false">IF($A35="","",_xlfn.TEXTJOIN(", ",TRUE(),IF(AI35&lt;&gt;"",AI$3,""),IF(AJ35&lt;&gt;"",AJ$3,""),IF(AK35&lt;&gt;"",AK$3,""),IF(AL35&lt;&gt;"",AL$3,""),IF(AM35&lt;&gt;"",AM$3,""),IF(AN35&lt;&gt;"",AN$3,""),IF(AO35&lt;&gt;"",AO$3,""),IF(AP35&lt;&gt;"",AP$3,""),IF(AQ35&lt;&gt;"",AQ$3,""),IF(AR35&lt;&gt;"",AR$3,""),IF(AS35&lt;&gt;"",AS$3,""),IF(AT35&lt;&gt;"",AT$3,""),IF(AU35&lt;&gt;"",AU$3,""),IF(AV35&lt;&gt;"",AV$3,""),IF(AW35&lt;&gt;"",AW$3,""),IF(AX35&lt;&gt;"",AX$3,""),IF(AY35&lt;&gt;"",AY$3,""),IF(AZ35&lt;&gt;"",AZ$3,""),IF(BA35&lt;&gt;"",BA$3,""),IF(BB35&lt;&gt;"",BB$3,""),IF(BC35&lt;&gt;"",BC$3,""),IF(BD35&lt;&gt;"",BD$3,""),IF(BE35&lt;&gt;"",BE$3,""),IF(BF35&lt;&gt;"",BF$3,""),IF(BG35&lt;&gt;"",BG$3,""),IF(BH35&lt;&gt;"",BH$3,"")))</f>
        <v/>
      </c>
      <c r="BK35" s="15" t="str">
        <f aca="false">IF(OR($A35="",$AE35=""),"",IF(BI35=$AE35,"Ja","Nein"))</f>
        <v/>
      </c>
      <c r="BL35" s="16" t="str">
        <f aca="false">IF($A35="","",IF(NOT(ISNUMBER(SEARCH("westnetz",$D35))),"–",IF($I35="Ja",IF($K35="Modul 2","MK 8 (Kaskade: Z1 SteuVE, Z2 Haushalt)","MK 2 (Überschuss)"),IF($K35="Modul 2","MK 0 + eigener Zählpunkt SteuVE","MK 0"))))</f>
        <v/>
      </c>
    </row>
    <row r="36" customFormat="false" ht="1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9"/>
      <c r="AG36" s="14" t="str">
        <f aca="false">IF($A36="","",COUNTIF($E36:$I36,"Ja"))</f>
        <v/>
      </c>
      <c r="AH36" s="14" t="str">
        <f aca="false">IF($A36="","",IF(AND(COUNTIF($E36:$H36,"Ja")&gt;0,N($J36)&gt;=4.2),"Ja","Nein"))</f>
        <v/>
      </c>
      <c r="AI36" s="14" t="str">
        <f aca="false">IF($A36="","",IF(AND(OR($L36="DIN 43853 Zählertafel ohne Schutzklasse II",$L36="DIN 43853 Norm-Zählertafel (Schutzklasse II)",$L36="DIN 43870 Norm-Zählertafel mit Vorsicherung"),$AG36&gt;0),Regeln!$E$5,""))</f>
        <v/>
      </c>
      <c r="AJ36" s="14" t="str">
        <f aca="false">IF($A36="","",IF(AND(OR($L36="DIN 43870 Zählerschrank, Trennvorrichtung im AAR",$L36="DIN 43870 Zählerschrank, NH-Sicherung im NAR"),OR($AA36="unter 10 mm² oder starr",$AA36="Unbekannt",$AA36=""),$AG36&gt;0),Regeln!$E$6,""))</f>
        <v/>
      </c>
      <c r="AK36" s="14" t="str">
        <f aca="false">IF($A36="","",IF(AND($V36="Nein",$AG36&gt;0),Regeln!$E$7,""))</f>
        <v/>
      </c>
      <c r="AL36" s="14" t="str">
        <f aca="false">IF($A36="","",IF(AND(OR($AH36="Ja",$I36="Ja"),$O36="Nein"),Regeln!$E$8,""))</f>
        <v/>
      </c>
      <c r="AM36" s="14" t="str">
        <f aca="false">IF($A36="","",IF(AND($K36="Modul 2",N($N36)&lt;1),Regeln!$E$9,""))</f>
        <v/>
      </c>
      <c r="AN36" s="14" t="str">
        <f aca="false">IF($A36="","",IF(AND($P36="Nein",$AG36&gt;0,OR(ISNUMBER(SEARCH("westnetz",$D36)),$M36="3-Punkt")),Regeln!$E$10,""))</f>
        <v/>
      </c>
      <c r="AO36" s="14" t="str">
        <f aca="false">IF($A36="","",IF(AND($Q36="Nein",$AG36&gt;0),Regeln!$E$11,""))</f>
        <v/>
      </c>
      <c r="AP36" s="14" t="str">
        <f aca="false">IF($A36="","",IF(AND($R36="1-phasig",OR(N($J36)&gt;4.6,$I36="Ja")),Regeln!$E$12,""))</f>
        <v/>
      </c>
      <c r="AQ36" s="14" t="str">
        <f aca="false">IF($A36="","",IF(OR($U36="Nein",$U36="Unbekannt"),Regeln!$E$13,""))</f>
        <v/>
      </c>
      <c r="AR36" s="14" t="str">
        <f aca="false">IF($A36="","",IF(OR($S36="TN-C",$S36="Unbekannt"),Regeln!$E$14,""))</f>
        <v/>
      </c>
      <c r="AS36" s="14" t="str">
        <f aca="false">IF($A36="","",IF(AND(N($T36)&gt;0,N($T36)&lt;50,$AG36&gt;=2),Regeln!$E$15,""))</f>
        <v/>
      </c>
      <c r="AT36" s="14" t="str">
        <f aca="false">IF($A36="","",IF(AND($E36="Ja",N($J36)&gt;12),Regeln!$E$16,""))</f>
        <v/>
      </c>
      <c r="AU36" s="14" t="str">
        <f aca="false">IF($A36="","",IF($L36="Unbekannt",Regeln!$E$17,""))</f>
        <v/>
      </c>
      <c r="AV36" s="14" t="str">
        <f aca="false">IF($A36="","",IF(AND(OR($L36="DIN 43870 Zählerschrank, Trennvorrichtung im AAR",$L36="DIN 43870 Zählerschrank, NH-Sicherung im NAR"),$AG36&gt;0),Regeln!$E$18,""))</f>
        <v/>
      </c>
      <c r="AW36" s="14" t="str">
        <f aca="false">IF($A36="","",IF(AND(ISNUMBER(SEARCH("westnetz",$D36)),OR($AH36="Ja",$I36="Ja"),$X36="Nein"),Regeln!$E$19,""))</f>
        <v/>
      </c>
      <c r="AX36" s="14" t="str">
        <f aca="false">IF($A36="","",IF(AND(ISNUMBER(SEARCH("westnetz",$D36)),OR($W36="Relais (potentialfrei)",$W36="Digital + Relais",AND($I36="Ja",N($AC36)&gt;=25)),$Y36="Nein"),Regeln!$E$20,""))</f>
        <v/>
      </c>
      <c r="AY36" s="14" t="str">
        <f aca="false">IF($A36="","",IF(AND(ISNUMBER(SEARCH("westnetz",$D36)),OR($W36="Digital (RJ45 / EEBUS)",$W36="Digital + Relais"),$Z36="Nein"),Regeln!$E$21,""))</f>
        <v/>
      </c>
      <c r="AZ36" s="14" t="str">
        <f aca="false">IF($A36="","",IF(AND(ISNUMBER(SEARCH("westnetz",$D36)),N($AB36)&gt;30),Regeln!$E$22,""))</f>
        <v/>
      </c>
      <c r="BA36" s="14" t="str">
        <f aca="false">IF($A36="","",IF(AND($AA36="10 mm² flexibel",N($AB36)*1000/(SQRT(3)*400)&gt;32),Regeln!$E$23,""))</f>
        <v/>
      </c>
      <c r="BB36" s="14" t="str">
        <f aca="false">IF($A36="","",IF(AND(ISNUMBER(SEARCH("westnetz",$D36)),$I36="Ja",N($AC36)&gt;=25),Regeln!$E$24,""))</f>
        <v/>
      </c>
      <c r="BC36" s="14" t="str">
        <f aca="false">IF($A36="","",IF(AND(ISNUMBER(SEARCH("westnetz",$D36)),$I36="Ja",OR($AH36="Ja",N($AC36)&gt;7)),Regeln!$E$25,""))</f>
        <v/>
      </c>
      <c r="BD36" s="14" t="str">
        <f aca="false">IF($A36="","",IF(AND(ISNUMBER(SEARCH("westnetz",$D36)),$AH36="Ja"),Regeln!$E$26,""))</f>
        <v/>
      </c>
      <c r="BE36" s="14" t="str">
        <f aca="false">IF($A36="","",IF(AND(ISNUMBER(SEARCH("westnetz",$D36)),OR($W36="Relais (potentialfrei)",$W36="Digital + Relais"),$M36="3-Punkt",$AD36="Nein"),Regeln!$E$27,""))</f>
        <v/>
      </c>
      <c r="BF36" s="14" t="str">
        <f aca="false">IF($A36="","",IF(AND(ISNUMBER(SEARCH("westnetz",$D36)),$I36="Ja"),Regeln!$E$28,""))</f>
        <v/>
      </c>
      <c r="BG36" s="14" t="str">
        <f aca="false">IF($A36="","",IF(AND(ISNUMBER(SEARCH("westnetz",$D36)),$H36="Ja"),Regeln!$E$29,""))</f>
        <v/>
      </c>
      <c r="BH36" s="14" t="str">
        <f aca="false">IF($A36="","",IF(AND(ISNUMBER(SEARCH("westnetz",$D36)),OR($W36="Relais (potentialfrei)",$W36="Digital + Relais")),Regeln!$E$30,""))</f>
        <v/>
      </c>
      <c r="BI36" s="15" t="str">
        <f aca="false">IF($A36="","",IF($AG36=0,"Kein Vorhaben",CHOOSE(MAX(AI36:BH36)+1,"Weiterverwendbar","Nachrüsten","Austausch")))</f>
        <v/>
      </c>
      <c r="BJ36" s="16" t="str">
        <f aca="false">IF($A36="","",_xlfn.TEXTJOIN(", ",TRUE(),IF(AI36&lt;&gt;"",AI$3,""),IF(AJ36&lt;&gt;"",AJ$3,""),IF(AK36&lt;&gt;"",AK$3,""),IF(AL36&lt;&gt;"",AL$3,""),IF(AM36&lt;&gt;"",AM$3,""),IF(AN36&lt;&gt;"",AN$3,""),IF(AO36&lt;&gt;"",AO$3,""),IF(AP36&lt;&gt;"",AP$3,""),IF(AQ36&lt;&gt;"",AQ$3,""),IF(AR36&lt;&gt;"",AR$3,""),IF(AS36&lt;&gt;"",AS$3,""),IF(AT36&lt;&gt;"",AT$3,""),IF(AU36&lt;&gt;"",AU$3,""),IF(AV36&lt;&gt;"",AV$3,""),IF(AW36&lt;&gt;"",AW$3,""),IF(AX36&lt;&gt;"",AX$3,""),IF(AY36&lt;&gt;"",AY$3,""),IF(AZ36&lt;&gt;"",AZ$3,""),IF(BA36&lt;&gt;"",BA$3,""),IF(BB36&lt;&gt;"",BB$3,""),IF(BC36&lt;&gt;"",BC$3,""),IF(BD36&lt;&gt;"",BD$3,""),IF(BE36&lt;&gt;"",BE$3,""),IF(BF36&lt;&gt;"",BF$3,""),IF(BG36&lt;&gt;"",BG$3,""),IF(BH36&lt;&gt;"",BH$3,"")))</f>
        <v/>
      </c>
      <c r="BK36" s="15" t="str">
        <f aca="false">IF(OR($A36="",$AE36=""),"",IF(BI36=$AE36,"Ja","Nein"))</f>
        <v/>
      </c>
      <c r="BL36" s="16" t="str">
        <f aca="false">IF($A36="","",IF(NOT(ISNUMBER(SEARCH("westnetz",$D36))),"–",IF($I36="Ja",IF($K36="Modul 2","MK 8 (Kaskade: Z1 SteuVE, Z2 Haushalt)","MK 2 (Überschuss)"),IF($K36="Modul 2","MK 0 + eigener Zählpunkt SteuVE","MK 0"))))</f>
        <v/>
      </c>
    </row>
    <row r="37" customFormat="false" ht="1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9"/>
      <c r="AG37" s="14" t="str">
        <f aca="false">IF($A37="","",COUNTIF($E37:$I37,"Ja"))</f>
        <v/>
      </c>
      <c r="AH37" s="14" t="str">
        <f aca="false">IF($A37="","",IF(AND(COUNTIF($E37:$H37,"Ja")&gt;0,N($J37)&gt;=4.2),"Ja","Nein"))</f>
        <v/>
      </c>
      <c r="AI37" s="14" t="str">
        <f aca="false">IF($A37="","",IF(AND(OR($L37="DIN 43853 Zählertafel ohne Schutzklasse II",$L37="DIN 43853 Norm-Zählertafel (Schutzklasse II)",$L37="DIN 43870 Norm-Zählertafel mit Vorsicherung"),$AG37&gt;0),Regeln!$E$5,""))</f>
        <v/>
      </c>
      <c r="AJ37" s="14" t="str">
        <f aca="false">IF($A37="","",IF(AND(OR($L37="DIN 43870 Zählerschrank, Trennvorrichtung im AAR",$L37="DIN 43870 Zählerschrank, NH-Sicherung im NAR"),OR($AA37="unter 10 mm² oder starr",$AA37="Unbekannt",$AA37=""),$AG37&gt;0),Regeln!$E$6,""))</f>
        <v/>
      </c>
      <c r="AK37" s="14" t="str">
        <f aca="false">IF($A37="","",IF(AND($V37="Nein",$AG37&gt;0),Regeln!$E$7,""))</f>
        <v/>
      </c>
      <c r="AL37" s="14" t="str">
        <f aca="false">IF($A37="","",IF(AND(OR($AH37="Ja",$I37="Ja"),$O37="Nein"),Regeln!$E$8,""))</f>
        <v/>
      </c>
      <c r="AM37" s="14" t="str">
        <f aca="false">IF($A37="","",IF(AND($K37="Modul 2",N($N37)&lt;1),Regeln!$E$9,""))</f>
        <v/>
      </c>
      <c r="AN37" s="14" t="str">
        <f aca="false">IF($A37="","",IF(AND($P37="Nein",$AG37&gt;0,OR(ISNUMBER(SEARCH("westnetz",$D37)),$M37="3-Punkt")),Regeln!$E$10,""))</f>
        <v/>
      </c>
      <c r="AO37" s="14" t="str">
        <f aca="false">IF($A37="","",IF(AND($Q37="Nein",$AG37&gt;0),Regeln!$E$11,""))</f>
        <v/>
      </c>
      <c r="AP37" s="14" t="str">
        <f aca="false">IF($A37="","",IF(AND($R37="1-phasig",OR(N($J37)&gt;4.6,$I37="Ja")),Regeln!$E$12,""))</f>
        <v/>
      </c>
      <c r="AQ37" s="14" t="str">
        <f aca="false">IF($A37="","",IF(OR($U37="Nein",$U37="Unbekannt"),Regeln!$E$13,""))</f>
        <v/>
      </c>
      <c r="AR37" s="14" t="str">
        <f aca="false">IF($A37="","",IF(OR($S37="TN-C",$S37="Unbekannt"),Regeln!$E$14,""))</f>
        <v/>
      </c>
      <c r="AS37" s="14" t="str">
        <f aca="false">IF($A37="","",IF(AND(N($T37)&gt;0,N($T37)&lt;50,$AG37&gt;=2),Regeln!$E$15,""))</f>
        <v/>
      </c>
      <c r="AT37" s="14" t="str">
        <f aca="false">IF($A37="","",IF(AND($E37="Ja",N($J37)&gt;12),Regeln!$E$16,""))</f>
        <v/>
      </c>
      <c r="AU37" s="14" t="str">
        <f aca="false">IF($A37="","",IF($L37="Unbekannt",Regeln!$E$17,""))</f>
        <v/>
      </c>
      <c r="AV37" s="14" t="str">
        <f aca="false">IF($A37="","",IF(AND(OR($L37="DIN 43870 Zählerschrank, Trennvorrichtung im AAR",$L37="DIN 43870 Zählerschrank, NH-Sicherung im NAR"),$AG37&gt;0),Regeln!$E$18,""))</f>
        <v/>
      </c>
      <c r="AW37" s="14" t="str">
        <f aca="false">IF($A37="","",IF(AND(ISNUMBER(SEARCH("westnetz",$D37)),OR($AH37="Ja",$I37="Ja"),$X37="Nein"),Regeln!$E$19,""))</f>
        <v/>
      </c>
      <c r="AX37" s="14" t="str">
        <f aca="false">IF($A37="","",IF(AND(ISNUMBER(SEARCH("westnetz",$D37)),OR($W37="Relais (potentialfrei)",$W37="Digital + Relais",AND($I37="Ja",N($AC37)&gt;=25)),$Y37="Nein"),Regeln!$E$20,""))</f>
        <v/>
      </c>
      <c r="AY37" s="14" t="str">
        <f aca="false">IF($A37="","",IF(AND(ISNUMBER(SEARCH("westnetz",$D37)),OR($W37="Digital (RJ45 / EEBUS)",$W37="Digital + Relais"),$Z37="Nein"),Regeln!$E$21,""))</f>
        <v/>
      </c>
      <c r="AZ37" s="14" t="str">
        <f aca="false">IF($A37="","",IF(AND(ISNUMBER(SEARCH("westnetz",$D37)),N($AB37)&gt;30),Regeln!$E$22,""))</f>
        <v/>
      </c>
      <c r="BA37" s="14" t="str">
        <f aca="false">IF($A37="","",IF(AND($AA37="10 mm² flexibel",N($AB37)*1000/(SQRT(3)*400)&gt;32),Regeln!$E$23,""))</f>
        <v/>
      </c>
      <c r="BB37" s="14" t="str">
        <f aca="false">IF($A37="","",IF(AND(ISNUMBER(SEARCH("westnetz",$D37)),$I37="Ja",N($AC37)&gt;=25),Regeln!$E$24,""))</f>
        <v/>
      </c>
      <c r="BC37" s="14" t="str">
        <f aca="false">IF($A37="","",IF(AND(ISNUMBER(SEARCH("westnetz",$D37)),$I37="Ja",OR($AH37="Ja",N($AC37)&gt;7)),Regeln!$E$25,""))</f>
        <v/>
      </c>
      <c r="BD37" s="14" t="str">
        <f aca="false">IF($A37="","",IF(AND(ISNUMBER(SEARCH("westnetz",$D37)),$AH37="Ja"),Regeln!$E$26,""))</f>
        <v/>
      </c>
      <c r="BE37" s="14" t="str">
        <f aca="false">IF($A37="","",IF(AND(ISNUMBER(SEARCH("westnetz",$D37)),OR($W37="Relais (potentialfrei)",$W37="Digital + Relais"),$M37="3-Punkt",$AD37="Nein"),Regeln!$E$27,""))</f>
        <v/>
      </c>
      <c r="BF37" s="14" t="str">
        <f aca="false">IF($A37="","",IF(AND(ISNUMBER(SEARCH("westnetz",$D37)),$I37="Ja"),Regeln!$E$28,""))</f>
        <v/>
      </c>
      <c r="BG37" s="14" t="str">
        <f aca="false">IF($A37="","",IF(AND(ISNUMBER(SEARCH("westnetz",$D37)),$H37="Ja"),Regeln!$E$29,""))</f>
        <v/>
      </c>
      <c r="BH37" s="14" t="str">
        <f aca="false">IF($A37="","",IF(AND(ISNUMBER(SEARCH("westnetz",$D37)),OR($W37="Relais (potentialfrei)",$W37="Digital + Relais")),Regeln!$E$30,""))</f>
        <v/>
      </c>
      <c r="BI37" s="15" t="str">
        <f aca="false">IF($A37="","",IF($AG37=0,"Kein Vorhaben",CHOOSE(MAX(AI37:BH37)+1,"Weiterverwendbar","Nachrüsten","Austausch")))</f>
        <v/>
      </c>
      <c r="BJ37" s="16" t="str">
        <f aca="false">IF($A37="","",_xlfn.TEXTJOIN(", ",TRUE(),IF(AI37&lt;&gt;"",AI$3,""),IF(AJ37&lt;&gt;"",AJ$3,""),IF(AK37&lt;&gt;"",AK$3,""),IF(AL37&lt;&gt;"",AL$3,""),IF(AM37&lt;&gt;"",AM$3,""),IF(AN37&lt;&gt;"",AN$3,""),IF(AO37&lt;&gt;"",AO$3,""),IF(AP37&lt;&gt;"",AP$3,""),IF(AQ37&lt;&gt;"",AQ$3,""),IF(AR37&lt;&gt;"",AR$3,""),IF(AS37&lt;&gt;"",AS$3,""),IF(AT37&lt;&gt;"",AT$3,""),IF(AU37&lt;&gt;"",AU$3,""),IF(AV37&lt;&gt;"",AV$3,""),IF(AW37&lt;&gt;"",AW$3,""),IF(AX37&lt;&gt;"",AX$3,""),IF(AY37&lt;&gt;"",AY$3,""),IF(AZ37&lt;&gt;"",AZ$3,""),IF(BA37&lt;&gt;"",BA$3,""),IF(BB37&lt;&gt;"",BB$3,""),IF(BC37&lt;&gt;"",BC$3,""),IF(BD37&lt;&gt;"",BD$3,""),IF(BE37&lt;&gt;"",BE$3,""),IF(BF37&lt;&gt;"",BF$3,""),IF(BG37&lt;&gt;"",BG$3,""),IF(BH37&lt;&gt;"",BH$3,"")))</f>
        <v/>
      </c>
      <c r="BK37" s="15" t="str">
        <f aca="false">IF(OR($A37="",$AE37=""),"",IF(BI37=$AE37,"Ja","Nein"))</f>
        <v/>
      </c>
      <c r="BL37" s="16" t="str">
        <f aca="false">IF($A37="","",IF(NOT(ISNUMBER(SEARCH("westnetz",$D37))),"–",IF($I37="Ja",IF($K37="Modul 2","MK 8 (Kaskade: Z1 SteuVE, Z2 Haushalt)","MK 2 (Überschuss)"),IF($K37="Modul 2","MK 0 + eigener Zählpunkt SteuVE","MK 0"))))</f>
        <v/>
      </c>
    </row>
    <row r="38" customFormat="false" ht="1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9"/>
      <c r="AG38" s="14" t="str">
        <f aca="false">IF($A38="","",COUNTIF($E38:$I38,"Ja"))</f>
        <v/>
      </c>
      <c r="AH38" s="14" t="str">
        <f aca="false">IF($A38="","",IF(AND(COUNTIF($E38:$H38,"Ja")&gt;0,N($J38)&gt;=4.2),"Ja","Nein"))</f>
        <v/>
      </c>
      <c r="AI38" s="14" t="str">
        <f aca="false">IF($A38="","",IF(AND(OR($L38="DIN 43853 Zählertafel ohne Schutzklasse II",$L38="DIN 43853 Norm-Zählertafel (Schutzklasse II)",$L38="DIN 43870 Norm-Zählertafel mit Vorsicherung"),$AG38&gt;0),Regeln!$E$5,""))</f>
        <v/>
      </c>
      <c r="AJ38" s="14" t="str">
        <f aca="false">IF($A38="","",IF(AND(OR($L38="DIN 43870 Zählerschrank, Trennvorrichtung im AAR",$L38="DIN 43870 Zählerschrank, NH-Sicherung im NAR"),OR($AA38="unter 10 mm² oder starr",$AA38="Unbekannt",$AA38=""),$AG38&gt;0),Regeln!$E$6,""))</f>
        <v/>
      </c>
      <c r="AK38" s="14" t="str">
        <f aca="false">IF($A38="","",IF(AND($V38="Nein",$AG38&gt;0),Regeln!$E$7,""))</f>
        <v/>
      </c>
      <c r="AL38" s="14" t="str">
        <f aca="false">IF($A38="","",IF(AND(OR($AH38="Ja",$I38="Ja"),$O38="Nein"),Regeln!$E$8,""))</f>
        <v/>
      </c>
      <c r="AM38" s="14" t="str">
        <f aca="false">IF($A38="","",IF(AND($K38="Modul 2",N($N38)&lt;1),Regeln!$E$9,""))</f>
        <v/>
      </c>
      <c r="AN38" s="14" t="str">
        <f aca="false">IF($A38="","",IF(AND($P38="Nein",$AG38&gt;0,OR(ISNUMBER(SEARCH("westnetz",$D38)),$M38="3-Punkt")),Regeln!$E$10,""))</f>
        <v/>
      </c>
      <c r="AO38" s="14" t="str">
        <f aca="false">IF($A38="","",IF(AND($Q38="Nein",$AG38&gt;0),Regeln!$E$11,""))</f>
        <v/>
      </c>
      <c r="AP38" s="14" t="str">
        <f aca="false">IF($A38="","",IF(AND($R38="1-phasig",OR(N($J38)&gt;4.6,$I38="Ja")),Regeln!$E$12,""))</f>
        <v/>
      </c>
      <c r="AQ38" s="14" t="str">
        <f aca="false">IF($A38="","",IF(OR($U38="Nein",$U38="Unbekannt"),Regeln!$E$13,""))</f>
        <v/>
      </c>
      <c r="AR38" s="14" t="str">
        <f aca="false">IF($A38="","",IF(OR($S38="TN-C",$S38="Unbekannt"),Regeln!$E$14,""))</f>
        <v/>
      </c>
      <c r="AS38" s="14" t="str">
        <f aca="false">IF($A38="","",IF(AND(N($T38)&gt;0,N($T38)&lt;50,$AG38&gt;=2),Regeln!$E$15,""))</f>
        <v/>
      </c>
      <c r="AT38" s="14" t="str">
        <f aca="false">IF($A38="","",IF(AND($E38="Ja",N($J38)&gt;12),Regeln!$E$16,""))</f>
        <v/>
      </c>
      <c r="AU38" s="14" t="str">
        <f aca="false">IF($A38="","",IF($L38="Unbekannt",Regeln!$E$17,""))</f>
        <v/>
      </c>
      <c r="AV38" s="14" t="str">
        <f aca="false">IF($A38="","",IF(AND(OR($L38="DIN 43870 Zählerschrank, Trennvorrichtung im AAR",$L38="DIN 43870 Zählerschrank, NH-Sicherung im NAR"),$AG38&gt;0),Regeln!$E$18,""))</f>
        <v/>
      </c>
      <c r="AW38" s="14" t="str">
        <f aca="false">IF($A38="","",IF(AND(ISNUMBER(SEARCH("westnetz",$D38)),OR($AH38="Ja",$I38="Ja"),$X38="Nein"),Regeln!$E$19,""))</f>
        <v/>
      </c>
      <c r="AX38" s="14" t="str">
        <f aca="false">IF($A38="","",IF(AND(ISNUMBER(SEARCH("westnetz",$D38)),OR($W38="Relais (potentialfrei)",$W38="Digital + Relais",AND($I38="Ja",N($AC38)&gt;=25)),$Y38="Nein"),Regeln!$E$20,""))</f>
        <v/>
      </c>
      <c r="AY38" s="14" t="str">
        <f aca="false">IF($A38="","",IF(AND(ISNUMBER(SEARCH("westnetz",$D38)),OR($W38="Digital (RJ45 / EEBUS)",$W38="Digital + Relais"),$Z38="Nein"),Regeln!$E$21,""))</f>
        <v/>
      </c>
      <c r="AZ38" s="14" t="str">
        <f aca="false">IF($A38="","",IF(AND(ISNUMBER(SEARCH("westnetz",$D38)),N($AB38)&gt;30),Regeln!$E$22,""))</f>
        <v/>
      </c>
      <c r="BA38" s="14" t="str">
        <f aca="false">IF($A38="","",IF(AND($AA38="10 mm² flexibel",N($AB38)*1000/(SQRT(3)*400)&gt;32),Regeln!$E$23,""))</f>
        <v/>
      </c>
      <c r="BB38" s="14" t="str">
        <f aca="false">IF($A38="","",IF(AND(ISNUMBER(SEARCH("westnetz",$D38)),$I38="Ja",N($AC38)&gt;=25),Regeln!$E$24,""))</f>
        <v/>
      </c>
      <c r="BC38" s="14" t="str">
        <f aca="false">IF($A38="","",IF(AND(ISNUMBER(SEARCH("westnetz",$D38)),$I38="Ja",OR($AH38="Ja",N($AC38)&gt;7)),Regeln!$E$25,""))</f>
        <v/>
      </c>
      <c r="BD38" s="14" t="str">
        <f aca="false">IF($A38="","",IF(AND(ISNUMBER(SEARCH("westnetz",$D38)),$AH38="Ja"),Regeln!$E$26,""))</f>
        <v/>
      </c>
      <c r="BE38" s="14" t="str">
        <f aca="false">IF($A38="","",IF(AND(ISNUMBER(SEARCH("westnetz",$D38)),OR($W38="Relais (potentialfrei)",$W38="Digital + Relais"),$M38="3-Punkt",$AD38="Nein"),Regeln!$E$27,""))</f>
        <v/>
      </c>
      <c r="BF38" s="14" t="str">
        <f aca="false">IF($A38="","",IF(AND(ISNUMBER(SEARCH("westnetz",$D38)),$I38="Ja"),Regeln!$E$28,""))</f>
        <v/>
      </c>
      <c r="BG38" s="14" t="str">
        <f aca="false">IF($A38="","",IF(AND(ISNUMBER(SEARCH("westnetz",$D38)),$H38="Ja"),Regeln!$E$29,""))</f>
        <v/>
      </c>
      <c r="BH38" s="14" t="str">
        <f aca="false">IF($A38="","",IF(AND(ISNUMBER(SEARCH("westnetz",$D38)),OR($W38="Relais (potentialfrei)",$W38="Digital + Relais")),Regeln!$E$30,""))</f>
        <v/>
      </c>
      <c r="BI38" s="15" t="str">
        <f aca="false">IF($A38="","",IF($AG38=0,"Kein Vorhaben",CHOOSE(MAX(AI38:BH38)+1,"Weiterverwendbar","Nachrüsten","Austausch")))</f>
        <v/>
      </c>
      <c r="BJ38" s="16" t="str">
        <f aca="false">IF($A38="","",_xlfn.TEXTJOIN(", ",TRUE(),IF(AI38&lt;&gt;"",AI$3,""),IF(AJ38&lt;&gt;"",AJ$3,""),IF(AK38&lt;&gt;"",AK$3,""),IF(AL38&lt;&gt;"",AL$3,""),IF(AM38&lt;&gt;"",AM$3,""),IF(AN38&lt;&gt;"",AN$3,""),IF(AO38&lt;&gt;"",AO$3,""),IF(AP38&lt;&gt;"",AP$3,""),IF(AQ38&lt;&gt;"",AQ$3,""),IF(AR38&lt;&gt;"",AR$3,""),IF(AS38&lt;&gt;"",AS$3,""),IF(AT38&lt;&gt;"",AT$3,""),IF(AU38&lt;&gt;"",AU$3,""),IF(AV38&lt;&gt;"",AV$3,""),IF(AW38&lt;&gt;"",AW$3,""),IF(AX38&lt;&gt;"",AX$3,""),IF(AY38&lt;&gt;"",AY$3,""),IF(AZ38&lt;&gt;"",AZ$3,""),IF(BA38&lt;&gt;"",BA$3,""),IF(BB38&lt;&gt;"",BB$3,""),IF(BC38&lt;&gt;"",BC$3,""),IF(BD38&lt;&gt;"",BD$3,""),IF(BE38&lt;&gt;"",BE$3,""),IF(BF38&lt;&gt;"",BF$3,""),IF(BG38&lt;&gt;"",BG$3,""),IF(BH38&lt;&gt;"",BH$3,"")))</f>
        <v/>
      </c>
      <c r="BK38" s="15" t="str">
        <f aca="false">IF(OR($A38="",$AE38=""),"",IF(BI38=$AE38,"Ja","Nein"))</f>
        <v/>
      </c>
      <c r="BL38" s="16" t="str">
        <f aca="false">IF($A38="","",IF(NOT(ISNUMBER(SEARCH("westnetz",$D38))),"–",IF($I38="Ja",IF($K38="Modul 2","MK 8 (Kaskade: Z1 SteuVE, Z2 Haushalt)","MK 2 (Überschuss)"),IF($K38="Modul 2","MK 0 + eigener Zählpunkt SteuVE","MK 0"))))</f>
        <v/>
      </c>
    </row>
    <row r="39" customFormat="false" ht="1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9"/>
      <c r="AG39" s="14" t="str">
        <f aca="false">IF($A39="","",COUNTIF($E39:$I39,"Ja"))</f>
        <v/>
      </c>
      <c r="AH39" s="14" t="str">
        <f aca="false">IF($A39="","",IF(AND(COUNTIF($E39:$H39,"Ja")&gt;0,N($J39)&gt;=4.2),"Ja","Nein"))</f>
        <v/>
      </c>
      <c r="AI39" s="14" t="str">
        <f aca="false">IF($A39="","",IF(AND(OR($L39="DIN 43853 Zählertafel ohne Schutzklasse II",$L39="DIN 43853 Norm-Zählertafel (Schutzklasse II)",$L39="DIN 43870 Norm-Zählertafel mit Vorsicherung"),$AG39&gt;0),Regeln!$E$5,""))</f>
        <v/>
      </c>
      <c r="AJ39" s="14" t="str">
        <f aca="false">IF($A39="","",IF(AND(OR($L39="DIN 43870 Zählerschrank, Trennvorrichtung im AAR",$L39="DIN 43870 Zählerschrank, NH-Sicherung im NAR"),OR($AA39="unter 10 mm² oder starr",$AA39="Unbekannt",$AA39=""),$AG39&gt;0),Regeln!$E$6,""))</f>
        <v/>
      </c>
      <c r="AK39" s="14" t="str">
        <f aca="false">IF($A39="","",IF(AND($V39="Nein",$AG39&gt;0),Regeln!$E$7,""))</f>
        <v/>
      </c>
      <c r="AL39" s="14" t="str">
        <f aca="false">IF($A39="","",IF(AND(OR($AH39="Ja",$I39="Ja"),$O39="Nein"),Regeln!$E$8,""))</f>
        <v/>
      </c>
      <c r="AM39" s="14" t="str">
        <f aca="false">IF($A39="","",IF(AND($K39="Modul 2",N($N39)&lt;1),Regeln!$E$9,""))</f>
        <v/>
      </c>
      <c r="AN39" s="14" t="str">
        <f aca="false">IF($A39="","",IF(AND($P39="Nein",$AG39&gt;0,OR(ISNUMBER(SEARCH("westnetz",$D39)),$M39="3-Punkt")),Regeln!$E$10,""))</f>
        <v/>
      </c>
      <c r="AO39" s="14" t="str">
        <f aca="false">IF($A39="","",IF(AND($Q39="Nein",$AG39&gt;0),Regeln!$E$11,""))</f>
        <v/>
      </c>
      <c r="AP39" s="14" t="str">
        <f aca="false">IF($A39="","",IF(AND($R39="1-phasig",OR(N($J39)&gt;4.6,$I39="Ja")),Regeln!$E$12,""))</f>
        <v/>
      </c>
      <c r="AQ39" s="14" t="str">
        <f aca="false">IF($A39="","",IF(OR($U39="Nein",$U39="Unbekannt"),Regeln!$E$13,""))</f>
        <v/>
      </c>
      <c r="AR39" s="14" t="str">
        <f aca="false">IF($A39="","",IF(OR($S39="TN-C",$S39="Unbekannt"),Regeln!$E$14,""))</f>
        <v/>
      </c>
      <c r="AS39" s="14" t="str">
        <f aca="false">IF($A39="","",IF(AND(N($T39)&gt;0,N($T39)&lt;50,$AG39&gt;=2),Regeln!$E$15,""))</f>
        <v/>
      </c>
      <c r="AT39" s="14" t="str">
        <f aca="false">IF($A39="","",IF(AND($E39="Ja",N($J39)&gt;12),Regeln!$E$16,""))</f>
        <v/>
      </c>
      <c r="AU39" s="14" t="str">
        <f aca="false">IF($A39="","",IF($L39="Unbekannt",Regeln!$E$17,""))</f>
        <v/>
      </c>
      <c r="AV39" s="14" t="str">
        <f aca="false">IF($A39="","",IF(AND(OR($L39="DIN 43870 Zählerschrank, Trennvorrichtung im AAR",$L39="DIN 43870 Zählerschrank, NH-Sicherung im NAR"),$AG39&gt;0),Regeln!$E$18,""))</f>
        <v/>
      </c>
      <c r="AW39" s="14" t="str">
        <f aca="false">IF($A39="","",IF(AND(ISNUMBER(SEARCH("westnetz",$D39)),OR($AH39="Ja",$I39="Ja"),$X39="Nein"),Regeln!$E$19,""))</f>
        <v/>
      </c>
      <c r="AX39" s="14" t="str">
        <f aca="false">IF($A39="","",IF(AND(ISNUMBER(SEARCH("westnetz",$D39)),OR($W39="Relais (potentialfrei)",$W39="Digital + Relais",AND($I39="Ja",N($AC39)&gt;=25)),$Y39="Nein"),Regeln!$E$20,""))</f>
        <v/>
      </c>
      <c r="AY39" s="14" t="str">
        <f aca="false">IF($A39="","",IF(AND(ISNUMBER(SEARCH("westnetz",$D39)),OR($W39="Digital (RJ45 / EEBUS)",$W39="Digital + Relais"),$Z39="Nein"),Regeln!$E$21,""))</f>
        <v/>
      </c>
      <c r="AZ39" s="14" t="str">
        <f aca="false">IF($A39="","",IF(AND(ISNUMBER(SEARCH("westnetz",$D39)),N($AB39)&gt;30),Regeln!$E$22,""))</f>
        <v/>
      </c>
      <c r="BA39" s="14" t="str">
        <f aca="false">IF($A39="","",IF(AND($AA39="10 mm² flexibel",N($AB39)*1000/(SQRT(3)*400)&gt;32),Regeln!$E$23,""))</f>
        <v/>
      </c>
      <c r="BB39" s="14" t="str">
        <f aca="false">IF($A39="","",IF(AND(ISNUMBER(SEARCH("westnetz",$D39)),$I39="Ja",N($AC39)&gt;=25),Regeln!$E$24,""))</f>
        <v/>
      </c>
      <c r="BC39" s="14" t="str">
        <f aca="false">IF($A39="","",IF(AND(ISNUMBER(SEARCH("westnetz",$D39)),$I39="Ja",OR($AH39="Ja",N($AC39)&gt;7)),Regeln!$E$25,""))</f>
        <v/>
      </c>
      <c r="BD39" s="14" t="str">
        <f aca="false">IF($A39="","",IF(AND(ISNUMBER(SEARCH("westnetz",$D39)),$AH39="Ja"),Regeln!$E$26,""))</f>
        <v/>
      </c>
      <c r="BE39" s="14" t="str">
        <f aca="false">IF($A39="","",IF(AND(ISNUMBER(SEARCH("westnetz",$D39)),OR($W39="Relais (potentialfrei)",$W39="Digital + Relais"),$M39="3-Punkt",$AD39="Nein"),Regeln!$E$27,""))</f>
        <v/>
      </c>
      <c r="BF39" s="14" t="str">
        <f aca="false">IF($A39="","",IF(AND(ISNUMBER(SEARCH("westnetz",$D39)),$I39="Ja"),Regeln!$E$28,""))</f>
        <v/>
      </c>
      <c r="BG39" s="14" t="str">
        <f aca="false">IF($A39="","",IF(AND(ISNUMBER(SEARCH("westnetz",$D39)),$H39="Ja"),Regeln!$E$29,""))</f>
        <v/>
      </c>
      <c r="BH39" s="14" t="str">
        <f aca="false">IF($A39="","",IF(AND(ISNUMBER(SEARCH("westnetz",$D39)),OR($W39="Relais (potentialfrei)",$W39="Digital + Relais")),Regeln!$E$30,""))</f>
        <v/>
      </c>
      <c r="BI39" s="15" t="str">
        <f aca="false">IF($A39="","",IF($AG39=0,"Kein Vorhaben",CHOOSE(MAX(AI39:BH39)+1,"Weiterverwendbar","Nachrüsten","Austausch")))</f>
        <v/>
      </c>
      <c r="BJ39" s="16" t="str">
        <f aca="false">IF($A39="","",_xlfn.TEXTJOIN(", ",TRUE(),IF(AI39&lt;&gt;"",AI$3,""),IF(AJ39&lt;&gt;"",AJ$3,""),IF(AK39&lt;&gt;"",AK$3,""),IF(AL39&lt;&gt;"",AL$3,""),IF(AM39&lt;&gt;"",AM$3,""),IF(AN39&lt;&gt;"",AN$3,""),IF(AO39&lt;&gt;"",AO$3,""),IF(AP39&lt;&gt;"",AP$3,""),IF(AQ39&lt;&gt;"",AQ$3,""),IF(AR39&lt;&gt;"",AR$3,""),IF(AS39&lt;&gt;"",AS$3,""),IF(AT39&lt;&gt;"",AT$3,""),IF(AU39&lt;&gt;"",AU$3,""),IF(AV39&lt;&gt;"",AV$3,""),IF(AW39&lt;&gt;"",AW$3,""),IF(AX39&lt;&gt;"",AX$3,""),IF(AY39&lt;&gt;"",AY$3,""),IF(AZ39&lt;&gt;"",AZ$3,""),IF(BA39&lt;&gt;"",BA$3,""),IF(BB39&lt;&gt;"",BB$3,""),IF(BC39&lt;&gt;"",BC$3,""),IF(BD39&lt;&gt;"",BD$3,""),IF(BE39&lt;&gt;"",BE$3,""),IF(BF39&lt;&gt;"",BF$3,""),IF(BG39&lt;&gt;"",BG$3,""),IF(BH39&lt;&gt;"",BH$3,"")))</f>
        <v/>
      </c>
      <c r="BK39" s="15" t="str">
        <f aca="false">IF(OR($A39="",$AE39=""),"",IF(BI39=$AE39,"Ja","Nein"))</f>
        <v/>
      </c>
      <c r="BL39" s="16" t="str">
        <f aca="false">IF($A39="","",IF(NOT(ISNUMBER(SEARCH("westnetz",$D39))),"–",IF($I39="Ja",IF($K39="Modul 2","MK 8 (Kaskade: Z1 SteuVE, Z2 Haushalt)","MK 2 (Überschuss)"),IF($K39="Modul 2","MK 0 + eigener Zählpunkt SteuVE","MK 0"))))</f>
        <v/>
      </c>
    </row>
    <row r="40" customFormat="false" ht="1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9"/>
      <c r="AG40" s="14" t="str">
        <f aca="false">IF($A40="","",COUNTIF($E40:$I40,"Ja"))</f>
        <v/>
      </c>
      <c r="AH40" s="14" t="str">
        <f aca="false">IF($A40="","",IF(AND(COUNTIF($E40:$H40,"Ja")&gt;0,N($J40)&gt;=4.2),"Ja","Nein"))</f>
        <v/>
      </c>
      <c r="AI40" s="14" t="str">
        <f aca="false">IF($A40="","",IF(AND(OR($L40="DIN 43853 Zählertafel ohne Schutzklasse II",$L40="DIN 43853 Norm-Zählertafel (Schutzklasse II)",$L40="DIN 43870 Norm-Zählertafel mit Vorsicherung"),$AG40&gt;0),Regeln!$E$5,""))</f>
        <v/>
      </c>
      <c r="AJ40" s="14" t="str">
        <f aca="false">IF($A40="","",IF(AND(OR($L40="DIN 43870 Zählerschrank, Trennvorrichtung im AAR",$L40="DIN 43870 Zählerschrank, NH-Sicherung im NAR"),OR($AA40="unter 10 mm² oder starr",$AA40="Unbekannt",$AA40=""),$AG40&gt;0),Regeln!$E$6,""))</f>
        <v/>
      </c>
      <c r="AK40" s="14" t="str">
        <f aca="false">IF($A40="","",IF(AND($V40="Nein",$AG40&gt;0),Regeln!$E$7,""))</f>
        <v/>
      </c>
      <c r="AL40" s="14" t="str">
        <f aca="false">IF($A40="","",IF(AND(OR($AH40="Ja",$I40="Ja"),$O40="Nein"),Regeln!$E$8,""))</f>
        <v/>
      </c>
      <c r="AM40" s="14" t="str">
        <f aca="false">IF($A40="","",IF(AND($K40="Modul 2",N($N40)&lt;1),Regeln!$E$9,""))</f>
        <v/>
      </c>
      <c r="AN40" s="14" t="str">
        <f aca="false">IF($A40="","",IF(AND($P40="Nein",$AG40&gt;0,OR(ISNUMBER(SEARCH("westnetz",$D40)),$M40="3-Punkt")),Regeln!$E$10,""))</f>
        <v/>
      </c>
      <c r="AO40" s="14" t="str">
        <f aca="false">IF($A40="","",IF(AND($Q40="Nein",$AG40&gt;0),Regeln!$E$11,""))</f>
        <v/>
      </c>
      <c r="AP40" s="14" t="str">
        <f aca="false">IF($A40="","",IF(AND($R40="1-phasig",OR(N($J40)&gt;4.6,$I40="Ja")),Regeln!$E$12,""))</f>
        <v/>
      </c>
      <c r="AQ40" s="14" t="str">
        <f aca="false">IF($A40="","",IF(OR($U40="Nein",$U40="Unbekannt"),Regeln!$E$13,""))</f>
        <v/>
      </c>
      <c r="AR40" s="14" t="str">
        <f aca="false">IF($A40="","",IF(OR($S40="TN-C",$S40="Unbekannt"),Regeln!$E$14,""))</f>
        <v/>
      </c>
      <c r="AS40" s="14" t="str">
        <f aca="false">IF($A40="","",IF(AND(N($T40)&gt;0,N($T40)&lt;50,$AG40&gt;=2),Regeln!$E$15,""))</f>
        <v/>
      </c>
      <c r="AT40" s="14" t="str">
        <f aca="false">IF($A40="","",IF(AND($E40="Ja",N($J40)&gt;12),Regeln!$E$16,""))</f>
        <v/>
      </c>
      <c r="AU40" s="14" t="str">
        <f aca="false">IF($A40="","",IF($L40="Unbekannt",Regeln!$E$17,""))</f>
        <v/>
      </c>
      <c r="AV40" s="14" t="str">
        <f aca="false">IF($A40="","",IF(AND(OR($L40="DIN 43870 Zählerschrank, Trennvorrichtung im AAR",$L40="DIN 43870 Zählerschrank, NH-Sicherung im NAR"),$AG40&gt;0),Regeln!$E$18,""))</f>
        <v/>
      </c>
      <c r="AW40" s="14" t="str">
        <f aca="false">IF($A40="","",IF(AND(ISNUMBER(SEARCH("westnetz",$D40)),OR($AH40="Ja",$I40="Ja"),$X40="Nein"),Regeln!$E$19,""))</f>
        <v/>
      </c>
      <c r="AX40" s="14" t="str">
        <f aca="false">IF($A40="","",IF(AND(ISNUMBER(SEARCH("westnetz",$D40)),OR($W40="Relais (potentialfrei)",$W40="Digital + Relais",AND($I40="Ja",N($AC40)&gt;=25)),$Y40="Nein"),Regeln!$E$20,""))</f>
        <v/>
      </c>
      <c r="AY40" s="14" t="str">
        <f aca="false">IF($A40="","",IF(AND(ISNUMBER(SEARCH("westnetz",$D40)),OR($W40="Digital (RJ45 / EEBUS)",$W40="Digital + Relais"),$Z40="Nein"),Regeln!$E$21,""))</f>
        <v/>
      </c>
      <c r="AZ40" s="14" t="str">
        <f aca="false">IF($A40="","",IF(AND(ISNUMBER(SEARCH("westnetz",$D40)),N($AB40)&gt;30),Regeln!$E$22,""))</f>
        <v/>
      </c>
      <c r="BA40" s="14" t="str">
        <f aca="false">IF($A40="","",IF(AND($AA40="10 mm² flexibel",N($AB40)*1000/(SQRT(3)*400)&gt;32),Regeln!$E$23,""))</f>
        <v/>
      </c>
      <c r="BB40" s="14" t="str">
        <f aca="false">IF($A40="","",IF(AND(ISNUMBER(SEARCH("westnetz",$D40)),$I40="Ja",N($AC40)&gt;=25),Regeln!$E$24,""))</f>
        <v/>
      </c>
      <c r="BC40" s="14" t="str">
        <f aca="false">IF($A40="","",IF(AND(ISNUMBER(SEARCH("westnetz",$D40)),$I40="Ja",OR($AH40="Ja",N($AC40)&gt;7)),Regeln!$E$25,""))</f>
        <v/>
      </c>
      <c r="BD40" s="14" t="str">
        <f aca="false">IF($A40="","",IF(AND(ISNUMBER(SEARCH("westnetz",$D40)),$AH40="Ja"),Regeln!$E$26,""))</f>
        <v/>
      </c>
      <c r="BE40" s="14" t="str">
        <f aca="false">IF($A40="","",IF(AND(ISNUMBER(SEARCH("westnetz",$D40)),OR($W40="Relais (potentialfrei)",$W40="Digital + Relais"),$M40="3-Punkt",$AD40="Nein"),Regeln!$E$27,""))</f>
        <v/>
      </c>
      <c r="BF40" s="14" t="str">
        <f aca="false">IF($A40="","",IF(AND(ISNUMBER(SEARCH("westnetz",$D40)),$I40="Ja"),Regeln!$E$28,""))</f>
        <v/>
      </c>
      <c r="BG40" s="14" t="str">
        <f aca="false">IF($A40="","",IF(AND(ISNUMBER(SEARCH("westnetz",$D40)),$H40="Ja"),Regeln!$E$29,""))</f>
        <v/>
      </c>
      <c r="BH40" s="14" t="str">
        <f aca="false">IF($A40="","",IF(AND(ISNUMBER(SEARCH("westnetz",$D40)),OR($W40="Relais (potentialfrei)",$W40="Digital + Relais")),Regeln!$E$30,""))</f>
        <v/>
      </c>
      <c r="BI40" s="15" t="str">
        <f aca="false">IF($A40="","",IF($AG40=0,"Kein Vorhaben",CHOOSE(MAX(AI40:BH40)+1,"Weiterverwendbar","Nachrüsten","Austausch")))</f>
        <v/>
      </c>
      <c r="BJ40" s="16" t="str">
        <f aca="false">IF($A40="","",_xlfn.TEXTJOIN(", ",TRUE(),IF(AI40&lt;&gt;"",AI$3,""),IF(AJ40&lt;&gt;"",AJ$3,""),IF(AK40&lt;&gt;"",AK$3,""),IF(AL40&lt;&gt;"",AL$3,""),IF(AM40&lt;&gt;"",AM$3,""),IF(AN40&lt;&gt;"",AN$3,""),IF(AO40&lt;&gt;"",AO$3,""),IF(AP40&lt;&gt;"",AP$3,""),IF(AQ40&lt;&gt;"",AQ$3,""),IF(AR40&lt;&gt;"",AR$3,""),IF(AS40&lt;&gt;"",AS$3,""),IF(AT40&lt;&gt;"",AT$3,""),IF(AU40&lt;&gt;"",AU$3,""),IF(AV40&lt;&gt;"",AV$3,""),IF(AW40&lt;&gt;"",AW$3,""),IF(AX40&lt;&gt;"",AX$3,""),IF(AY40&lt;&gt;"",AY$3,""),IF(AZ40&lt;&gt;"",AZ$3,""),IF(BA40&lt;&gt;"",BA$3,""),IF(BB40&lt;&gt;"",BB$3,""),IF(BC40&lt;&gt;"",BC$3,""),IF(BD40&lt;&gt;"",BD$3,""),IF(BE40&lt;&gt;"",BE$3,""),IF(BF40&lt;&gt;"",BF$3,""),IF(BG40&lt;&gt;"",BG$3,""),IF(BH40&lt;&gt;"",BH$3,"")))</f>
        <v/>
      </c>
      <c r="BK40" s="15" t="str">
        <f aca="false">IF(OR($A40="",$AE40=""),"",IF(BI40=$AE40,"Ja","Nein"))</f>
        <v/>
      </c>
      <c r="BL40" s="16" t="str">
        <f aca="false">IF($A40="","",IF(NOT(ISNUMBER(SEARCH("westnetz",$D40))),"–",IF($I40="Ja",IF($K40="Modul 2","MK 8 (Kaskade: Z1 SteuVE, Z2 Haushalt)","MK 2 (Überschuss)"),IF($K40="Modul 2","MK 0 + eigener Zählpunkt SteuVE","MK 0"))))</f>
        <v/>
      </c>
    </row>
    <row r="41" customFormat="false" ht="1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9"/>
      <c r="AG41" s="14" t="str">
        <f aca="false">IF($A41="","",COUNTIF($E41:$I41,"Ja"))</f>
        <v/>
      </c>
      <c r="AH41" s="14" t="str">
        <f aca="false">IF($A41="","",IF(AND(COUNTIF($E41:$H41,"Ja")&gt;0,N($J41)&gt;=4.2),"Ja","Nein"))</f>
        <v/>
      </c>
      <c r="AI41" s="14" t="str">
        <f aca="false">IF($A41="","",IF(AND(OR($L41="DIN 43853 Zählertafel ohne Schutzklasse II",$L41="DIN 43853 Norm-Zählertafel (Schutzklasse II)",$L41="DIN 43870 Norm-Zählertafel mit Vorsicherung"),$AG41&gt;0),Regeln!$E$5,""))</f>
        <v/>
      </c>
      <c r="AJ41" s="14" t="str">
        <f aca="false">IF($A41="","",IF(AND(OR($L41="DIN 43870 Zählerschrank, Trennvorrichtung im AAR",$L41="DIN 43870 Zählerschrank, NH-Sicherung im NAR"),OR($AA41="unter 10 mm² oder starr",$AA41="Unbekannt",$AA41=""),$AG41&gt;0),Regeln!$E$6,""))</f>
        <v/>
      </c>
      <c r="AK41" s="14" t="str">
        <f aca="false">IF($A41="","",IF(AND($V41="Nein",$AG41&gt;0),Regeln!$E$7,""))</f>
        <v/>
      </c>
      <c r="AL41" s="14" t="str">
        <f aca="false">IF($A41="","",IF(AND(OR($AH41="Ja",$I41="Ja"),$O41="Nein"),Regeln!$E$8,""))</f>
        <v/>
      </c>
      <c r="AM41" s="14" t="str">
        <f aca="false">IF($A41="","",IF(AND($K41="Modul 2",N($N41)&lt;1),Regeln!$E$9,""))</f>
        <v/>
      </c>
      <c r="AN41" s="14" t="str">
        <f aca="false">IF($A41="","",IF(AND($P41="Nein",$AG41&gt;0,OR(ISNUMBER(SEARCH("westnetz",$D41)),$M41="3-Punkt")),Regeln!$E$10,""))</f>
        <v/>
      </c>
      <c r="AO41" s="14" t="str">
        <f aca="false">IF($A41="","",IF(AND($Q41="Nein",$AG41&gt;0),Regeln!$E$11,""))</f>
        <v/>
      </c>
      <c r="AP41" s="14" t="str">
        <f aca="false">IF($A41="","",IF(AND($R41="1-phasig",OR(N($J41)&gt;4.6,$I41="Ja")),Regeln!$E$12,""))</f>
        <v/>
      </c>
      <c r="AQ41" s="14" t="str">
        <f aca="false">IF($A41="","",IF(OR($U41="Nein",$U41="Unbekannt"),Regeln!$E$13,""))</f>
        <v/>
      </c>
      <c r="AR41" s="14" t="str">
        <f aca="false">IF($A41="","",IF(OR($S41="TN-C",$S41="Unbekannt"),Regeln!$E$14,""))</f>
        <v/>
      </c>
      <c r="AS41" s="14" t="str">
        <f aca="false">IF($A41="","",IF(AND(N($T41)&gt;0,N($T41)&lt;50,$AG41&gt;=2),Regeln!$E$15,""))</f>
        <v/>
      </c>
      <c r="AT41" s="14" t="str">
        <f aca="false">IF($A41="","",IF(AND($E41="Ja",N($J41)&gt;12),Regeln!$E$16,""))</f>
        <v/>
      </c>
      <c r="AU41" s="14" t="str">
        <f aca="false">IF($A41="","",IF($L41="Unbekannt",Regeln!$E$17,""))</f>
        <v/>
      </c>
      <c r="AV41" s="14" t="str">
        <f aca="false">IF($A41="","",IF(AND(OR($L41="DIN 43870 Zählerschrank, Trennvorrichtung im AAR",$L41="DIN 43870 Zählerschrank, NH-Sicherung im NAR"),$AG41&gt;0),Regeln!$E$18,""))</f>
        <v/>
      </c>
      <c r="AW41" s="14" t="str">
        <f aca="false">IF($A41="","",IF(AND(ISNUMBER(SEARCH("westnetz",$D41)),OR($AH41="Ja",$I41="Ja"),$X41="Nein"),Regeln!$E$19,""))</f>
        <v/>
      </c>
      <c r="AX41" s="14" t="str">
        <f aca="false">IF($A41="","",IF(AND(ISNUMBER(SEARCH("westnetz",$D41)),OR($W41="Relais (potentialfrei)",$W41="Digital + Relais",AND($I41="Ja",N($AC41)&gt;=25)),$Y41="Nein"),Regeln!$E$20,""))</f>
        <v/>
      </c>
      <c r="AY41" s="14" t="str">
        <f aca="false">IF($A41="","",IF(AND(ISNUMBER(SEARCH("westnetz",$D41)),OR($W41="Digital (RJ45 / EEBUS)",$W41="Digital + Relais"),$Z41="Nein"),Regeln!$E$21,""))</f>
        <v/>
      </c>
      <c r="AZ41" s="14" t="str">
        <f aca="false">IF($A41="","",IF(AND(ISNUMBER(SEARCH("westnetz",$D41)),N($AB41)&gt;30),Regeln!$E$22,""))</f>
        <v/>
      </c>
      <c r="BA41" s="14" t="str">
        <f aca="false">IF($A41="","",IF(AND($AA41="10 mm² flexibel",N($AB41)*1000/(SQRT(3)*400)&gt;32),Regeln!$E$23,""))</f>
        <v/>
      </c>
      <c r="BB41" s="14" t="str">
        <f aca="false">IF($A41="","",IF(AND(ISNUMBER(SEARCH("westnetz",$D41)),$I41="Ja",N($AC41)&gt;=25),Regeln!$E$24,""))</f>
        <v/>
      </c>
      <c r="BC41" s="14" t="str">
        <f aca="false">IF($A41="","",IF(AND(ISNUMBER(SEARCH("westnetz",$D41)),$I41="Ja",OR($AH41="Ja",N($AC41)&gt;7)),Regeln!$E$25,""))</f>
        <v/>
      </c>
      <c r="BD41" s="14" t="str">
        <f aca="false">IF($A41="","",IF(AND(ISNUMBER(SEARCH("westnetz",$D41)),$AH41="Ja"),Regeln!$E$26,""))</f>
        <v/>
      </c>
      <c r="BE41" s="14" t="str">
        <f aca="false">IF($A41="","",IF(AND(ISNUMBER(SEARCH("westnetz",$D41)),OR($W41="Relais (potentialfrei)",$W41="Digital + Relais"),$M41="3-Punkt",$AD41="Nein"),Regeln!$E$27,""))</f>
        <v/>
      </c>
      <c r="BF41" s="14" t="str">
        <f aca="false">IF($A41="","",IF(AND(ISNUMBER(SEARCH("westnetz",$D41)),$I41="Ja"),Regeln!$E$28,""))</f>
        <v/>
      </c>
      <c r="BG41" s="14" t="str">
        <f aca="false">IF($A41="","",IF(AND(ISNUMBER(SEARCH("westnetz",$D41)),$H41="Ja"),Regeln!$E$29,""))</f>
        <v/>
      </c>
      <c r="BH41" s="14" t="str">
        <f aca="false">IF($A41="","",IF(AND(ISNUMBER(SEARCH("westnetz",$D41)),OR($W41="Relais (potentialfrei)",$W41="Digital + Relais")),Regeln!$E$30,""))</f>
        <v/>
      </c>
      <c r="BI41" s="15" t="str">
        <f aca="false">IF($A41="","",IF($AG41=0,"Kein Vorhaben",CHOOSE(MAX(AI41:BH41)+1,"Weiterverwendbar","Nachrüsten","Austausch")))</f>
        <v/>
      </c>
      <c r="BJ41" s="16" t="str">
        <f aca="false">IF($A41="","",_xlfn.TEXTJOIN(", ",TRUE(),IF(AI41&lt;&gt;"",AI$3,""),IF(AJ41&lt;&gt;"",AJ$3,""),IF(AK41&lt;&gt;"",AK$3,""),IF(AL41&lt;&gt;"",AL$3,""),IF(AM41&lt;&gt;"",AM$3,""),IF(AN41&lt;&gt;"",AN$3,""),IF(AO41&lt;&gt;"",AO$3,""),IF(AP41&lt;&gt;"",AP$3,""),IF(AQ41&lt;&gt;"",AQ$3,""),IF(AR41&lt;&gt;"",AR$3,""),IF(AS41&lt;&gt;"",AS$3,""),IF(AT41&lt;&gt;"",AT$3,""),IF(AU41&lt;&gt;"",AU$3,""),IF(AV41&lt;&gt;"",AV$3,""),IF(AW41&lt;&gt;"",AW$3,""),IF(AX41&lt;&gt;"",AX$3,""),IF(AY41&lt;&gt;"",AY$3,""),IF(AZ41&lt;&gt;"",AZ$3,""),IF(BA41&lt;&gt;"",BA$3,""),IF(BB41&lt;&gt;"",BB$3,""),IF(BC41&lt;&gt;"",BC$3,""),IF(BD41&lt;&gt;"",BD$3,""),IF(BE41&lt;&gt;"",BE$3,""),IF(BF41&lt;&gt;"",BF$3,""),IF(BG41&lt;&gt;"",BG$3,""),IF(BH41&lt;&gt;"",BH$3,"")))</f>
        <v/>
      </c>
      <c r="BK41" s="15" t="str">
        <f aca="false">IF(OR($A41="",$AE41=""),"",IF(BI41=$AE41,"Ja","Nein"))</f>
        <v/>
      </c>
      <c r="BL41" s="16" t="str">
        <f aca="false">IF($A41="","",IF(NOT(ISNUMBER(SEARCH("westnetz",$D41))),"–",IF($I41="Ja",IF($K41="Modul 2","MK 8 (Kaskade: Z1 SteuVE, Z2 Haushalt)","MK 2 (Überschuss)"),IF($K41="Modul 2","MK 0 + eigener Zählpunkt SteuVE","MK 0"))))</f>
        <v/>
      </c>
    </row>
    <row r="42" customFormat="false" ht="1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9"/>
      <c r="AG42" s="14" t="str">
        <f aca="false">IF($A42="","",COUNTIF($E42:$I42,"Ja"))</f>
        <v/>
      </c>
      <c r="AH42" s="14" t="str">
        <f aca="false">IF($A42="","",IF(AND(COUNTIF($E42:$H42,"Ja")&gt;0,N($J42)&gt;=4.2),"Ja","Nein"))</f>
        <v/>
      </c>
      <c r="AI42" s="14" t="str">
        <f aca="false">IF($A42="","",IF(AND(OR($L42="DIN 43853 Zählertafel ohne Schutzklasse II",$L42="DIN 43853 Norm-Zählertafel (Schutzklasse II)",$L42="DIN 43870 Norm-Zählertafel mit Vorsicherung"),$AG42&gt;0),Regeln!$E$5,""))</f>
        <v/>
      </c>
      <c r="AJ42" s="14" t="str">
        <f aca="false">IF($A42="","",IF(AND(OR($L42="DIN 43870 Zählerschrank, Trennvorrichtung im AAR",$L42="DIN 43870 Zählerschrank, NH-Sicherung im NAR"),OR($AA42="unter 10 mm² oder starr",$AA42="Unbekannt",$AA42=""),$AG42&gt;0),Regeln!$E$6,""))</f>
        <v/>
      </c>
      <c r="AK42" s="14" t="str">
        <f aca="false">IF($A42="","",IF(AND($V42="Nein",$AG42&gt;0),Regeln!$E$7,""))</f>
        <v/>
      </c>
      <c r="AL42" s="14" t="str">
        <f aca="false">IF($A42="","",IF(AND(OR($AH42="Ja",$I42="Ja"),$O42="Nein"),Regeln!$E$8,""))</f>
        <v/>
      </c>
      <c r="AM42" s="14" t="str">
        <f aca="false">IF($A42="","",IF(AND($K42="Modul 2",N($N42)&lt;1),Regeln!$E$9,""))</f>
        <v/>
      </c>
      <c r="AN42" s="14" t="str">
        <f aca="false">IF($A42="","",IF(AND($P42="Nein",$AG42&gt;0,OR(ISNUMBER(SEARCH("westnetz",$D42)),$M42="3-Punkt")),Regeln!$E$10,""))</f>
        <v/>
      </c>
      <c r="AO42" s="14" t="str">
        <f aca="false">IF($A42="","",IF(AND($Q42="Nein",$AG42&gt;0),Regeln!$E$11,""))</f>
        <v/>
      </c>
      <c r="AP42" s="14" t="str">
        <f aca="false">IF($A42="","",IF(AND($R42="1-phasig",OR(N($J42)&gt;4.6,$I42="Ja")),Regeln!$E$12,""))</f>
        <v/>
      </c>
      <c r="AQ42" s="14" t="str">
        <f aca="false">IF($A42="","",IF(OR($U42="Nein",$U42="Unbekannt"),Regeln!$E$13,""))</f>
        <v/>
      </c>
      <c r="AR42" s="14" t="str">
        <f aca="false">IF($A42="","",IF(OR($S42="TN-C",$S42="Unbekannt"),Regeln!$E$14,""))</f>
        <v/>
      </c>
      <c r="AS42" s="14" t="str">
        <f aca="false">IF($A42="","",IF(AND(N($T42)&gt;0,N($T42)&lt;50,$AG42&gt;=2),Regeln!$E$15,""))</f>
        <v/>
      </c>
      <c r="AT42" s="14" t="str">
        <f aca="false">IF($A42="","",IF(AND($E42="Ja",N($J42)&gt;12),Regeln!$E$16,""))</f>
        <v/>
      </c>
      <c r="AU42" s="14" t="str">
        <f aca="false">IF($A42="","",IF($L42="Unbekannt",Regeln!$E$17,""))</f>
        <v/>
      </c>
      <c r="AV42" s="14" t="str">
        <f aca="false">IF($A42="","",IF(AND(OR($L42="DIN 43870 Zählerschrank, Trennvorrichtung im AAR",$L42="DIN 43870 Zählerschrank, NH-Sicherung im NAR"),$AG42&gt;0),Regeln!$E$18,""))</f>
        <v/>
      </c>
      <c r="AW42" s="14" t="str">
        <f aca="false">IF($A42="","",IF(AND(ISNUMBER(SEARCH("westnetz",$D42)),OR($AH42="Ja",$I42="Ja"),$X42="Nein"),Regeln!$E$19,""))</f>
        <v/>
      </c>
      <c r="AX42" s="14" t="str">
        <f aca="false">IF($A42="","",IF(AND(ISNUMBER(SEARCH("westnetz",$D42)),OR($W42="Relais (potentialfrei)",$W42="Digital + Relais",AND($I42="Ja",N($AC42)&gt;=25)),$Y42="Nein"),Regeln!$E$20,""))</f>
        <v/>
      </c>
      <c r="AY42" s="14" t="str">
        <f aca="false">IF($A42="","",IF(AND(ISNUMBER(SEARCH("westnetz",$D42)),OR($W42="Digital (RJ45 / EEBUS)",$W42="Digital + Relais"),$Z42="Nein"),Regeln!$E$21,""))</f>
        <v/>
      </c>
      <c r="AZ42" s="14" t="str">
        <f aca="false">IF($A42="","",IF(AND(ISNUMBER(SEARCH("westnetz",$D42)),N($AB42)&gt;30),Regeln!$E$22,""))</f>
        <v/>
      </c>
      <c r="BA42" s="14" t="str">
        <f aca="false">IF($A42="","",IF(AND($AA42="10 mm² flexibel",N($AB42)*1000/(SQRT(3)*400)&gt;32),Regeln!$E$23,""))</f>
        <v/>
      </c>
      <c r="BB42" s="14" t="str">
        <f aca="false">IF($A42="","",IF(AND(ISNUMBER(SEARCH("westnetz",$D42)),$I42="Ja",N($AC42)&gt;=25),Regeln!$E$24,""))</f>
        <v/>
      </c>
      <c r="BC42" s="14" t="str">
        <f aca="false">IF($A42="","",IF(AND(ISNUMBER(SEARCH("westnetz",$D42)),$I42="Ja",OR($AH42="Ja",N($AC42)&gt;7)),Regeln!$E$25,""))</f>
        <v/>
      </c>
      <c r="BD42" s="14" t="str">
        <f aca="false">IF($A42="","",IF(AND(ISNUMBER(SEARCH("westnetz",$D42)),$AH42="Ja"),Regeln!$E$26,""))</f>
        <v/>
      </c>
      <c r="BE42" s="14" t="str">
        <f aca="false">IF($A42="","",IF(AND(ISNUMBER(SEARCH("westnetz",$D42)),OR($W42="Relais (potentialfrei)",$W42="Digital + Relais"),$M42="3-Punkt",$AD42="Nein"),Regeln!$E$27,""))</f>
        <v/>
      </c>
      <c r="BF42" s="14" t="str">
        <f aca="false">IF($A42="","",IF(AND(ISNUMBER(SEARCH("westnetz",$D42)),$I42="Ja"),Regeln!$E$28,""))</f>
        <v/>
      </c>
      <c r="BG42" s="14" t="str">
        <f aca="false">IF($A42="","",IF(AND(ISNUMBER(SEARCH("westnetz",$D42)),$H42="Ja"),Regeln!$E$29,""))</f>
        <v/>
      </c>
      <c r="BH42" s="14" t="str">
        <f aca="false">IF($A42="","",IF(AND(ISNUMBER(SEARCH("westnetz",$D42)),OR($W42="Relais (potentialfrei)",$W42="Digital + Relais")),Regeln!$E$30,""))</f>
        <v/>
      </c>
      <c r="BI42" s="15" t="str">
        <f aca="false">IF($A42="","",IF($AG42=0,"Kein Vorhaben",CHOOSE(MAX(AI42:BH42)+1,"Weiterverwendbar","Nachrüsten","Austausch")))</f>
        <v/>
      </c>
      <c r="BJ42" s="16" t="str">
        <f aca="false">IF($A42="","",_xlfn.TEXTJOIN(", ",TRUE(),IF(AI42&lt;&gt;"",AI$3,""),IF(AJ42&lt;&gt;"",AJ$3,""),IF(AK42&lt;&gt;"",AK$3,""),IF(AL42&lt;&gt;"",AL$3,""),IF(AM42&lt;&gt;"",AM$3,""),IF(AN42&lt;&gt;"",AN$3,""),IF(AO42&lt;&gt;"",AO$3,""),IF(AP42&lt;&gt;"",AP$3,""),IF(AQ42&lt;&gt;"",AQ$3,""),IF(AR42&lt;&gt;"",AR$3,""),IF(AS42&lt;&gt;"",AS$3,""),IF(AT42&lt;&gt;"",AT$3,""),IF(AU42&lt;&gt;"",AU$3,""),IF(AV42&lt;&gt;"",AV$3,""),IF(AW42&lt;&gt;"",AW$3,""),IF(AX42&lt;&gt;"",AX$3,""),IF(AY42&lt;&gt;"",AY$3,""),IF(AZ42&lt;&gt;"",AZ$3,""),IF(BA42&lt;&gt;"",BA$3,""),IF(BB42&lt;&gt;"",BB$3,""),IF(BC42&lt;&gt;"",BC$3,""),IF(BD42&lt;&gt;"",BD$3,""),IF(BE42&lt;&gt;"",BE$3,""),IF(BF42&lt;&gt;"",BF$3,""),IF(BG42&lt;&gt;"",BG$3,""),IF(BH42&lt;&gt;"",BH$3,"")))</f>
        <v/>
      </c>
      <c r="BK42" s="15" t="str">
        <f aca="false">IF(OR($A42="",$AE42=""),"",IF(BI42=$AE42,"Ja","Nein"))</f>
        <v/>
      </c>
      <c r="BL42" s="16" t="str">
        <f aca="false">IF($A42="","",IF(NOT(ISNUMBER(SEARCH("westnetz",$D42))),"–",IF($I42="Ja",IF($K42="Modul 2","MK 8 (Kaskade: Z1 SteuVE, Z2 Haushalt)","MK 2 (Überschuss)"),IF($K42="Modul 2","MK 0 + eigener Zählpunkt SteuVE","MK 0"))))</f>
        <v/>
      </c>
    </row>
    <row r="43" customFormat="false" ht="1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9"/>
      <c r="AG43" s="14" t="str">
        <f aca="false">IF($A43="","",COUNTIF($E43:$I43,"Ja"))</f>
        <v/>
      </c>
      <c r="AH43" s="14" t="str">
        <f aca="false">IF($A43="","",IF(AND(COUNTIF($E43:$H43,"Ja")&gt;0,N($J43)&gt;=4.2),"Ja","Nein"))</f>
        <v/>
      </c>
      <c r="AI43" s="14" t="str">
        <f aca="false">IF($A43="","",IF(AND(OR($L43="DIN 43853 Zählertafel ohne Schutzklasse II",$L43="DIN 43853 Norm-Zählertafel (Schutzklasse II)",$L43="DIN 43870 Norm-Zählertafel mit Vorsicherung"),$AG43&gt;0),Regeln!$E$5,""))</f>
        <v/>
      </c>
      <c r="AJ43" s="14" t="str">
        <f aca="false">IF($A43="","",IF(AND(OR($L43="DIN 43870 Zählerschrank, Trennvorrichtung im AAR",$L43="DIN 43870 Zählerschrank, NH-Sicherung im NAR"),OR($AA43="unter 10 mm² oder starr",$AA43="Unbekannt",$AA43=""),$AG43&gt;0),Regeln!$E$6,""))</f>
        <v/>
      </c>
      <c r="AK43" s="14" t="str">
        <f aca="false">IF($A43="","",IF(AND($V43="Nein",$AG43&gt;0),Regeln!$E$7,""))</f>
        <v/>
      </c>
      <c r="AL43" s="14" t="str">
        <f aca="false">IF($A43="","",IF(AND(OR($AH43="Ja",$I43="Ja"),$O43="Nein"),Regeln!$E$8,""))</f>
        <v/>
      </c>
      <c r="AM43" s="14" t="str">
        <f aca="false">IF($A43="","",IF(AND($K43="Modul 2",N($N43)&lt;1),Regeln!$E$9,""))</f>
        <v/>
      </c>
      <c r="AN43" s="14" t="str">
        <f aca="false">IF($A43="","",IF(AND($P43="Nein",$AG43&gt;0,OR(ISNUMBER(SEARCH("westnetz",$D43)),$M43="3-Punkt")),Regeln!$E$10,""))</f>
        <v/>
      </c>
      <c r="AO43" s="14" t="str">
        <f aca="false">IF($A43="","",IF(AND($Q43="Nein",$AG43&gt;0),Regeln!$E$11,""))</f>
        <v/>
      </c>
      <c r="AP43" s="14" t="str">
        <f aca="false">IF($A43="","",IF(AND($R43="1-phasig",OR(N($J43)&gt;4.6,$I43="Ja")),Regeln!$E$12,""))</f>
        <v/>
      </c>
      <c r="AQ43" s="14" t="str">
        <f aca="false">IF($A43="","",IF(OR($U43="Nein",$U43="Unbekannt"),Regeln!$E$13,""))</f>
        <v/>
      </c>
      <c r="AR43" s="14" t="str">
        <f aca="false">IF($A43="","",IF(OR($S43="TN-C",$S43="Unbekannt"),Regeln!$E$14,""))</f>
        <v/>
      </c>
      <c r="AS43" s="14" t="str">
        <f aca="false">IF($A43="","",IF(AND(N($T43)&gt;0,N($T43)&lt;50,$AG43&gt;=2),Regeln!$E$15,""))</f>
        <v/>
      </c>
      <c r="AT43" s="14" t="str">
        <f aca="false">IF($A43="","",IF(AND($E43="Ja",N($J43)&gt;12),Regeln!$E$16,""))</f>
        <v/>
      </c>
      <c r="AU43" s="14" t="str">
        <f aca="false">IF($A43="","",IF($L43="Unbekannt",Regeln!$E$17,""))</f>
        <v/>
      </c>
      <c r="AV43" s="14" t="str">
        <f aca="false">IF($A43="","",IF(AND(OR($L43="DIN 43870 Zählerschrank, Trennvorrichtung im AAR",$L43="DIN 43870 Zählerschrank, NH-Sicherung im NAR"),$AG43&gt;0),Regeln!$E$18,""))</f>
        <v/>
      </c>
      <c r="AW43" s="14" t="str">
        <f aca="false">IF($A43="","",IF(AND(ISNUMBER(SEARCH("westnetz",$D43)),OR($AH43="Ja",$I43="Ja"),$X43="Nein"),Regeln!$E$19,""))</f>
        <v/>
      </c>
      <c r="AX43" s="14" t="str">
        <f aca="false">IF($A43="","",IF(AND(ISNUMBER(SEARCH("westnetz",$D43)),OR($W43="Relais (potentialfrei)",$W43="Digital + Relais",AND($I43="Ja",N($AC43)&gt;=25)),$Y43="Nein"),Regeln!$E$20,""))</f>
        <v/>
      </c>
      <c r="AY43" s="14" t="str">
        <f aca="false">IF($A43="","",IF(AND(ISNUMBER(SEARCH("westnetz",$D43)),OR($W43="Digital (RJ45 / EEBUS)",$W43="Digital + Relais"),$Z43="Nein"),Regeln!$E$21,""))</f>
        <v/>
      </c>
      <c r="AZ43" s="14" t="str">
        <f aca="false">IF($A43="","",IF(AND(ISNUMBER(SEARCH("westnetz",$D43)),N($AB43)&gt;30),Regeln!$E$22,""))</f>
        <v/>
      </c>
      <c r="BA43" s="14" t="str">
        <f aca="false">IF($A43="","",IF(AND($AA43="10 mm² flexibel",N($AB43)*1000/(SQRT(3)*400)&gt;32),Regeln!$E$23,""))</f>
        <v/>
      </c>
      <c r="BB43" s="14" t="str">
        <f aca="false">IF($A43="","",IF(AND(ISNUMBER(SEARCH("westnetz",$D43)),$I43="Ja",N($AC43)&gt;=25),Regeln!$E$24,""))</f>
        <v/>
      </c>
      <c r="BC43" s="14" t="str">
        <f aca="false">IF($A43="","",IF(AND(ISNUMBER(SEARCH("westnetz",$D43)),$I43="Ja",OR($AH43="Ja",N($AC43)&gt;7)),Regeln!$E$25,""))</f>
        <v/>
      </c>
      <c r="BD43" s="14" t="str">
        <f aca="false">IF($A43="","",IF(AND(ISNUMBER(SEARCH("westnetz",$D43)),$AH43="Ja"),Regeln!$E$26,""))</f>
        <v/>
      </c>
      <c r="BE43" s="14" t="str">
        <f aca="false">IF($A43="","",IF(AND(ISNUMBER(SEARCH("westnetz",$D43)),OR($W43="Relais (potentialfrei)",$W43="Digital + Relais"),$M43="3-Punkt",$AD43="Nein"),Regeln!$E$27,""))</f>
        <v/>
      </c>
      <c r="BF43" s="14" t="str">
        <f aca="false">IF($A43="","",IF(AND(ISNUMBER(SEARCH("westnetz",$D43)),$I43="Ja"),Regeln!$E$28,""))</f>
        <v/>
      </c>
      <c r="BG43" s="14" t="str">
        <f aca="false">IF($A43="","",IF(AND(ISNUMBER(SEARCH("westnetz",$D43)),$H43="Ja"),Regeln!$E$29,""))</f>
        <v/>
      </c>
      <c r="BH43" s="14" t="str">
        <f aca="false">IF($A43="","",IF(AND(ISNUMBER(SEARCH("westnetz",$D43)),OR($W43="Relais (potentialfrei)",$W43="Digital + Relais")),Regeln!$E$30,""))</f>
        <v/>
      </c>
      <c r="BI43" s="15" t="str">
        <f aca="false">IF($A43="","",IF($AG43=0,"Kein Vorhaben",CHOOSE(MAX(AI43:BH43)+1,"Weiterverwendbar","Nachrüsten","Austausch")))</f>
        <v/>
      </c>
      <c r="BJ43" s="16" t="str">
        <f aca="false">IF($A43="","",_xlfn.TEXTJOIN(", ",TRUE(),IF(AI43&lt;&gt;"",AI$3,""),IF(AJ43&lt;&gt;"",AJ$3,""),IF(AK43&lt;&gt;"",AK$3,""),IF(AL43&lt;&gt;"",AL$3,""),IF(AM43&lt;&gt;"",AM$3,""),IF(AN43&lt;&gt;"",AN$3,""),IF(AO43&lt;&gt;"",AO$3,""),IF(AP43&lt;&gt;"",AP$3,""),IF(AQ43&lt;&gt;"",AQ$3,""),IF(AR43&lt;&gt;"",AR$3,""),IF(AS43&lt;&gt;"",AS$3,""),IF(AT43&lt;&gt;"",AT$3,""),IF(AU43&lt;&gt;"",AU$3,""),IF(AV43&lt;&gt;"",AV$3,""),IF(AW43&lt;&gt;"",AW$3,""),IF(AX43&lt;&gt;"",AX$3,""),IF(AY43&lt;&gt;"",AY$3,""),IF(AZ43&lt;&gt;"",AZ$3,""),IF(BA43&lt;&gt;"",BA$3,""),IF(BB43&lt;&gt;"",BB$3,""),IF(BC43&lt;&gt;"",BC$3,""),IF(BD43&lt;&gt;"",BD$3,""),IF(BE43&lt;&gt;"",BE$3,""),IF(BF43&lt;&gt;"",BF$3,""),IF(BG43&lt;&gt;"",BG$3,""),IF(BH43&lt;&gt;"",BH$3,"")))</f>
        <v/>
      </c>
      <c r="BK43" s="15" t="str">
        <f aca="false">IF(OR($A43="",$AE43=""),"",IF(BI43=$AE43,"Ja","Nein"))</f>
        <v/>
      </c>
      <c r="BL43" s="16" t="str">
        <f aca="false">IF($A43="","",IF(NOT(ISNUMBER(SEARCH("westnetz",$D43))),"–",IF($I43="Ja",IF($K43="Modul 2","MK 8 (Kaskade: Z1 SteuVE, Z2 Haushalt)","MK 2 (Überschuss)"),IF($K43="Modul 2","MK 0 + eigener Zählpunkt SteuVE","MK 0"))))</f>
        <v/>
      </c>
    </row>
    <row r="44" customFormat="false" ht="1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9"/>
      <c r="AG44" s="14" t="str">
        <f aca="false">IF($A44="","",COUNTIF($E44:$I44,"Ja"))</f>
        <v/>
      </c>
      <c r="AH44" s="14" t="str">
        <f aca="false">IF($A44="","",IF(AND(COUNTIF($E44:$H44,"Ja")&gt;0,N($J44)&gt;=4.2),"Ja","Nein"))</f>
        <v/>
      </c>
      <c r="AI44" s="14" t="str">
        <f aca="false">IF($A44="","",IF(AND(OR($L44="DIN 43853 Zählertafel ohne Schutzklasse II",$L44="DIN 43853 Norm-Zählertafel (Schutzklasse II)",$L44="DIN 43870 Norm-Zählertafel mit Vorsicherung"),$AG44&gt;0),Regeln!$E$5,""))</f>
        <v/>
      </c>
      <c r="AJ44" s="14" t="str">
        <f aca="false">IF($A44="","",IF(AND(OR($L44="DIN 43870 Zählerschrank, Trennvorrichtung im AAR",$L44="DIN 43870 Zählerschrank, NH-Sicherung im NAR"),OR($AA44="unter 10 mm² oder starr",$AA44="Unbekannt",$AA44=""),$AG44&gt;0),Regeln!$E$6,""))</f>
        <v/>
      </c>
      <c r="AK44" s="14" t="str">
        <f aca="false">IF($A44="","",IF(AND($V44="Nein",$AG44&gt;0),Regeln!$E$7,""))</f>
        <v/>
      </c>
      <c r="AL44" s="14" t="str">
        <f aca="false">IF($A44="","",IF(AND(OR($AH44="Ja",$I44="Ja"),$O44="Nein"),Regeln!$E$8,""))</f>
        <v/>
      </c>
      <c r="AM44" s="14" t="str">
        <f aca="false">IF($A44="","",IF(AND($K44="Modul 2",N($N44)&lt;1),Regeln!$E$9,""))</f>
        <v/>
      </c>
      <c r="AN44" s="14" t="str">
        <f aca="false">IF($A44="","",IF(AND($P44="Nein",$AG44&gt;0,OR(ISNUMBER(SEARCH("westnetz",$D44)),$M44="3-Punkt")),Regeln!$E$10,""))</f>
        <v/>
      </c>
      <c r="AO44" s="14" t="str">
        <f aca="false">IF($A44="","",IF(AND($Q44="Nein",$AG44&gt;0),Regeln!$E$11,""))</f>
        <v/>
      </c>
      <c r="AP44" s="14" t="str">
        <f aca="false">IF($A44="","",IF(AND($R44="1-phasig",OR(N($J44)&gt;4.6,$I44="Ja")),Regeln!$E$12,""))</f>
        <v/>
      </c>
      <c r="AQ44" s="14" t="str">
        <f aca="false">IF($A44="","",IF(OR($U44="Nein",$U44="Unbekannt"),Regeln!$E$13,""))</f>
        <v/>
      </c>
      <c r="AR44" s="14" t="str">
        <f aca="false">IF($A44="","",IF(OR($S44="TN-C",$S44="Unbekannt"),Regeln!$E$14,""))</f>
        <v/>
      </c>
      <c r="AS44" s="14" t="str">
        <f aca="false">IF($A44="","",IF(AND(N($T44)&gt;0,N($T44)&lt;50,$AG44&gt;=2),Regeln!$E$15,""))</f>
        <v/>
      </c>
      <c r="AT44" s="14" t="str">
        <f aca="false">IF($A44="","",IF(AND($E44="Ja",N($J44)&gt;12),Regeln!$E$16,""))</f>
        <v/>
      </c>
      <c r="AU44" s="14" t="str">
        <f aca="false">IF($A44="","",IF($L44="Unbekannt",Regeln!$E$17,""))</f>
        <v/>
      </c>
      <c r="AV44" s="14" t="str">
        <f aca="false">IF($A44="","",IF(AND(OR($L44="DIN 43870 Zählerschrank, Trennvorrichtung im AAR",$L44="DIN 43870 Zählerschrank, NH-Sicherung im NAR"),$AG44&gt;0),Regeln!$E$18,""))</f>
        <v/>
      </c>
      <c r="AW44" s="14" t="str">
        <f aca="false">IF($A44="","",IF(AND(ISNUMBER(SEARCH("westnetz",$D44)),OR($AH44="Ja",$I44="Ja"),$X44="Nein"),Regeln!$E$19,""))</f>
        <v/>
      </c>
      <c r="AX44" s="14" t="str">
        <f aca="false">IF($A44="","",IF(AND(ISNUMBER(SEARCH("westnetz",$D44)),OR($W44="Relais (potentialfrei)",$W44="Digital + Relais",AND($I44="Ja",N($AC44)&gt;=25)),$Y44="Nein"),Regeln!$E$20,""))</f>
        <v/>
      </c>
      <c r="AY44" s="14" t="str">
        <f aca="false">IF($A44="","",IF(AND(ISNUMBER(SEARCH("westnetz",$D44)),OR($W44="Digital (RJ45 / EEBUS)",$W44="Digital + Relais"),$Z44="Nein"),Regeln!$E$21,""))</f>
        <v/>
      </c>
      <c r="AZ44" s="14" t="str">
        <f aca="false">IF($A44="","",IF(AND(ISNUMBER(SEARCH("westnetz",$D44)),N($AB44)&gt;30),Regeln!$E$22,""))</f>
        <v/>
      </c>
      <c r="BA44" s="14" t="str">
        <f aca="false">IF($A44="","",IF(AND($AA44="10 mm² flexibel",N($AB44)*1000/(SQRT(3)*400)&gt;32),Regeln!$E$23,""))</f>
        <v/>
      </c>
      <c r="BB44" s="14" t="str">
        <f aca="false">IF($A44="","",IF(AND(ISNUMBER(SEARCH("westnetz",$D44)),$I44="Ja",N($AC44)&gt;=25),Regeln!$E$24,""))</f>
        <v/>
      </c>
      <c r="BC44" s="14" t="str">
        <f aca="false">IF($A44="","",IF(AND(ISNUMBER(SEARCH("westnetz",$D44)),$I44="Ja",OR($AH44="Ja",N($AC44)&gt;7)),Regeln!$E$25,""))</f>
        <v/>
      </c>
      <c r="BD44" s="14" t="str">
        <f aca="false">IF($A44="","",IF(AND(ISNUMBER(SEARCH("westnetz",$D44)),$AH44="Ja"),Regeln!$E$26,""))</f>
        <v/>
      </c>
      <c r="BE44" s="14" t="str">
        <f aca="false">IF($A44="","",IF(AND(ISNUMBER(SEARCH("westnetz",$D44)),OR($W44="Relais (potentialfrei)",$W44="Digital + Relais"),$M44="3-Punkt",$AD44="Nein"),Regeln!$E$27,""))</f>
        <v/>
      </c>
      <c r="BF44" s="14" t="str">
        <f aca="false">IF($A44="","",IF(AND(ISNUMBER(SEARCH("westnetz",$D44)),$I44="Ja"),Regeln!$E$28,""))</f>
        <v/>
      </c>
      <c r="BG44" s="14" t="str">
        <f aca="false">IF($A44="","",IF(AND(ISNUMBER(SEARCH("westnetz",$D44)),$H44="Ja"),Regeln!$E$29,""))</f>
        <v/>
      </c>
      <c r="BH44" s="14" t="str">
        <f aca="false">IF($A44="","",IF(AND(ISNUMBER(SEARCH("westnetz",$D44)),OR($W44="Relais (potentialfrei)",$W44="Digital + Relais")),Regeln!$E$30,""))</f>
        <v/>
      </c>
      <c r="BI44" s="15" t="str">
        <f aca="false">IF($A44="","",IF($AG44=0,"Kein Vorhaben",CHOOSE(MAX(AI44:BH44)+1,"Weiterverwendbar","Nachrüsten","Austausch")))</f>
        <v/>
      </c>
      <c r="BJ44" s="16" t="str">
        <f aca="false">IF($A44="","",_xlfn.TEXTJOIN(", ",TRUE(),IF(AI44&lt;&gt;"",AI$3,""),IF(AJ44&lt;&gt;"",AJ$3,""),IF(AK44&lt;&gt;"",AK$3,""),IF(AL44&lt;&gt;"",AL$3,""),IF(AM44&lt;&gt;"",AM$3,""),IF(AN44&lt;&gt;"",AN$3,""),IF(AO44&lt;&gt;"",AO$3,""),IF(AP44&lt;&gt;"",AP$3,""),IF(AQ44&lt;&gt;"",AQ$3,""),IF(AR44&lt;&gt;"",AR$3,""),IF(AS44&lt;&gt;"",AS$3,""),IF(AT44&lt;&gt;"",AT$3,""),IF(AU44&lt;&gt;"",AU$3,""),IF(AV44&lt;&gt;"",AV$3,""),IF(AW44&lt;&gt;"",AW$3,""),IF(AX44&lt;&gt;"",AX$3,""),IF(AY44&lt;&gt;"",AY$3,""),IF(AZ44&lt;&gt;"",AZ$3,""),IF(BA44&lt;&gt;"",BA$3,""),IF(BB44&lt;&gt;"",BB$3,""),IF(BC44&lt;&gt;"",BC$3,""),IF(BD44&lt;&gt;"",BD$3,""),IF(BE44&lt;&gt;"",BE$3,""),IF(BF44&lt;&gt;"",BF$3,""),IF(BG44&lt;&gt;"",BG$3,""),IF(BH44&lt;&gt;"",BH$3,"")))</f>
        <v/>
      </c>
      <c r="BK44" s="15" t="str">
        <f aca="false">IF(OR($A44="",$AE44=""),"",IF(BI44=$AE44,"Ja","Nein"))</f>
        <v/>
      </c>
      <c r="BL44" s="16" t="str">
        <f aca="false">IF($A44="","",IF(NOT(ISNUMBER(SEARCH("westnetz",$D44))),"–",IF($I44="Ja",IF($K44="Modul 2","MK 8 (Kaskade: Z1 SteuVE, Z2 Haushalt)","MK 2 (Überschuss)"),IF($K44="Modul 2","MK 0 + eigener Zählpunkt SteuVE","MK 0"))))</f>
        <v/>
      </c>
    </row>
    <row r="45" customFormat="false" ht="1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9"/>
      <c r="AG45" s="14" t="str">
        <f aca="false">IF($A45="","",COUNTIF($E45:$I45,"Ja"))</f>
        <v/>
      </c>
      <c r="AH45" s="14" t="str">
        <f aca="false">IF($A45="","",IF(AND(COUNTIF($E45:$H45,"Ja")&gt;0,N($J45)&gt;=4.2),"Ja","Nein"))</f>
        <v/>
      </c>
      <c r="AI45" s="14" t="str">
        <f aca="false">IF($A45="","",IF(AND(OR($L45="DIN 43853 Zählertafel ohne Schutzklasse II",$L45="DIN 43853 Norm-Zählertafel (Schutzklasse II)",$L45="DIN 43870 Norm-Zählertafel mit Vorsicherung"),$AG45&gt;0),Regeln!$E$5,""))</f>
        <v/>
      </c>
      <c r="AJ45" s="14" t="str">
        <f aca="false">IF($A45="","",IF(AND(OR($L45="DIN 43870 Zählerschrank, Trennvorrichtung im AAR",$L45="DIN 43870 Zählerschrank, NH-Sicherung im NAR"),OR($AA45="unter 10 mm² oder starr",$AA45="Unbekannt",$AA45=""),$AG45&gt;0),Regeln!$E$6,""))</f>
        <v/>
      </c>
      <c r="AK45" s="14" t="str">
        <f aca="false">IF($A45="","",IF(AND($V45="Nein",$AG45&gt;0),Regeln!$E$7,""))</f>
        <v/>
      </c>
      <c r="AL45" s="14" t="str">
        <f aca="false">IF($A45="","",IF(AND(OR($AH45="Ja",$I45="Ja"),$O45="Nein"),Regeln!$E$8,""))</f>
        <v/>
      </c>
      <c r="AM45" s="14" t="str">
        <f aca="false">IF($A45="","",IF(AND($K45="Modul 2",N($N45)&lt;1),Regeln!$E$9,""))</f>
        <v/>
      </c>
      <c r="AN45" s="14" t="str">
        <f aca="false">IF($A45="","",IF(AND($P45="Nein",$AG45&gt;0,OR(ISNUMBER(SEARCH("westnetz",$D45)),$M45="3-Punkt")),Regeln!$E$10,""))</f>
        <v/>
      </c>
      <c r="AO45" s="14" t="str">
        <f aca="false">IF($A45="","",IF(AND($Q45="Nein",$AG45&gt;0),Regeln!$E$11,""))</f>
        <v/>
      </c>
      <c r="AP45" s="14" t="str">
        <f aca="false">IF($A45="","",IF(AND($R45="1-phasig",OR(N($J45)&gt;4.6,$I45="Ja")),Regeln!$E$12,""))</f>
        <v/>
      </c>
      <c r="AQ45" s="14" t="str">
        <f aca="false">IF($A45="","",IF(OR($U45="Nein",$U45="Unbekannt"),Regeln!$E$13,""))</f>
        <v/>
      </c>
      <c r="AR45" s="14" t="str">
        <f aca="false">IF($A45="","",IF(OR($S45="TN-C",$S45="Unbekannt"),Regeln!$E$14,""))</f>
        <v/>
      </c>
      <c r="AS45" s="14" t="str">
        <f aca="false">IF($A45="","",IF(AND(N($T45)&gt;0,N($T45)&lt;50,$AG45&gt;=2),Regeln!$E$15,""))</f>
        <v/>
      </c>
      <c r="AT45" s="14" t="str">
        <f aca="false">IF($A45="","",IF(AND($E45="Ja",N($J45)&gt;12),Regeln!$E$16,""))</f>
        <v/>
      </c>
      <c r="AU45" s="14" t="str">
        <f aca="false">IF($A45="","",IF($L45="Unbekannt",Regeln!$E$17,""))</f>
        <v/>
      </c>
      <c r="AV45" s="14" t="str">
        <f aca="false">IF($A45="","",IF(AND(OR($L45="DIN 43870 Zählerschrank, Trennvorrichtung im AAR",$L45="DIN 43870 Zählerschrank, NH-Sicherung im NAR"),$AG45&gt;0),Regeln!$E$18,""))</f>
        <v/>
      </c>
      <c r="AW45" s="14" t="str">
        <f aca="false">IF($A45="","",IF(AND(ISNUMBER(SEARCH("westnetz",$D45)),OR($AH45="Ja",$I45="Ja"),$X45="Nein"),Regeln!$E$19,""))</f>
        <v/>
      </c>
      <c r="AX45" s="14" t="str">
        <f aca="false">IF($A45="","",IF(AND(ISNUMBER(SEARCH("westnetz",$D45)),OR($W45="Relais (potentialfrei)",$W45="Digital + Relais",AND($I45="Ja",N($AC45)&gt;=25)),$Y45="Nein"),Regeln!$E$20,""))</f>
        <v/>
      </c>
      <c r="AY45" s="14" t="str">
        <f aca="false">IF($A45="","",IF(AND(ISNUMBER(SEARCH("westnetz",$D45)),OR($W45="Digital (RJ45 / EEBUS)",$W45="Digital + Relais"),$Z45="Nein"),Regeln!$E$21,""))</f>
        <v/>
      </c>
      <c r="AZ45" s="14" t="str">
        <f aca="false">IF($A45="","",IF(AND(ISNUMBER(SEARCH("westnetz",$D45)),N($AB45)&gt;30),Regeln!$E$22,""))</f>
        <v/>
      </c>
      <c r="BA45" s="14" t="str">
        <f aca="false">IF($A45="","",IF(AND($AA45="10 mm² flexibel",N($AB45)*1000/(SQRT(3)*400)&gt;32),Regeln!$E$23,""))</f>
        <v/>
      </c>
      <c r="BB45" s="14" t="str">
        <f aca="false">IF($A45="","",IF(AND(ISNUMBER(SEARCH("westnetz",$D45)),$I45="Ja",N($AC45)&gt;=25),Regeln!$E$24,""))</f>
        <v/>
      </c>
      <c r="BC45" s="14" t="str">
        <f aca="false">IF($A45="","",IF(AND(ISNUMBER(SEARCH("westnetz",$D45)),$I45="Ja",OR($AH45="Ja",N($AC45)&gt;7)),Regeln!$E$25,""))</f>
        <v/>
      </c>
      <c r="BD45" s="14" t="str">
        <f aca="false">IF($A45="","",IF(AND(ISNUMBER(SEARCH("westnetz",$D45)),$AH45="Ja"),Regeln!$E$26,""))</f>
        <v/>
      </c>
      <c r="BE45" s="14" t="str">
        <f aca="false">IF($A45="","",IF(AND(ISNUMBER(SEARCH("westnetz",$D45)),OR($W45="Relais (potentialfrei)",$W45="Digital + Relais"),$M45="3-Punkt",$AD45="Nein"),Regeln!$E$27,""))</f>
        <v/>
      </c>
      <c r="BF45" s="14" t="str">
        <f aca="false">IF($A45="","",IF(AND(ISNUMBER(SEARCH("westnetz",$D45)),$I45="Ja"),Regeln!$E$28,""))</f>
        <v/>
      </c>
      <c r="BG45" s="14" t="str">
        <f aca="false">IF($A45="","",IF(AND(ISNUMBER(SEARCH("westnetz",$D45)),$H45="Ja"),Regeln!$E$29,""))</f>
        <v/>
      </c>
      <c r="BH45" s="14" t="str">
        <f aca="false">IF($A45="","",IF(AND(ISNUMBER(SEARCH("westnetz",$D45)),OR($W45="Relais (potentialfrei)",$W45="Digital + Relais")),Regeln!$E$30,""))</f>
        <v/>
      </c>
      <c r="BI45" s="15" t="str">
        <f aca="false">IF($A45="","",IF($AG45=0,"Kein Vorhaben",CHOOSE(MAX(AI45:BH45)+1,"Weiterverwendbar","Nachrüsten","Austausch")))</f>
        <v/>
      </c>
      <c r="BJ45" s="16" t="str">
        <f aca="false">IF($A45="","",_xlfn.TEXTJOIN(", ",TRUE(),IF(AI45&lt;&gt;"",AI$3,""),IF(AJ45&lt;&gt;"",AJ$3,""),IF(AK45&lt;&gt;"",AK$3,""),IF(AL45&lt;&gt;"",AL$3,""),IF(AM45&lt;&gt;"",AM$3,""),IF(AN45&lt;&gt;"",AN$3,""),IF(AO45&lt;&gt;"",AO$3,""),IF(AP45&lt;&gt;"",AP$3,""),IF(AQ45&lt;&gt;"",AQ$3,""),IF(AR45&lt;&gt;"",AR$3,""),IF(AS45&lt;&gt;"",AS$3,""),IF(AT45&lt;&gt;"",AT$3,""),IF(AU45&lt;&gt;"",AU$3,""),IF(AV45&lt;&gt;"",AV$3,""),IF(AW45&lt;&gt;"",AW$3,""),IF(AX45&lt;&gt;"",AX$3,""),IF(AY45&lt;&gt;"",AY$3,""),IF(AZ45&lt;&gt;"",AZ$3,""),IF(BA45&lt;&gt;"",BA$3,""),IF(BB45&lt;&gt;"",BB$3,""),IF(BC45&lt;&gt;"",BC$3,""),IF(BD45&lt;&gt;"",BD$3,""),IF(BE45&lt;&gt;"",BE$3,""),IF(BF45&lt;&gt;"",BF$3,""),IF(BG45&lt;&gt;"",BG$3,""),IF(BH45&lt;&gt;"",BH$3,"")))</f>
        <v/>
      </c>
      <c r="BK45" s="15" t="str">
        <f aca="false">IF(OR($A45="",$AE45=""),"",IF(BI45=$AE45,"Ja","Nein"))</f>
        <v/>
      </c>
      <c r="BL45" s="16" t="str">
        <f aca="false">IF($A45="","",IF(NOT(ISNUMBER(SEARCH("westnetz",$D45))),"–",IF($I45="Ja",IF($K45="Modul 2","MK 8 (Kaskade: Z1 SteuVE, Z2 Haushalt)","MK 2 (Überschuss)"),IF($K45="Modul 2","MK 0 + eigener Zählpunkt SteuVE","MK 0"))))</f>
        <v/>
      </c>
    </row>
    <row r="46" customFormat="false" ht="15" hidden="false" customHeight="false" outlineLevel="0" collapsed="false">
      <c r="A46" s="17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9"/>
      <c r="AG46" s="14" t="str">
        <f aca="false">IF($A46="","",COUNTIF($E46:$I46,"Ja"))</f>
        <v/>
      </c>
      <c r="AH46" s="14" t="str">
        <f aca="false">IF($A46="","",IF(AND(COUNTIF($E46:$H46,"Ja")&gt;0,N($J46)&gt;=4.2),"Ja","Nein"))</f>
        <v/>
      </c>
      <c r="AI46" s="14" t="str">
        <f aca="false">IF($A46="","",IF(AND(OR($L46="DIN 43853 Zählertafel ohne Schutzklasse II",$L46="DIN 43853 Norm-Zählertafel (Schutzklasse II)",$L46="DIN 43870 Norm-Zählertafel mit Vorsicherung"),$AG46&gt;0),Regeln!$E$5,""))</f>
        <v/>
      </c>
      <c r="AJ46" s="14" t="str">
        <f aca="false">IF($A46="","",IF(AND(OR($L46="DIN 43870 Zählerschrank, Trennvorrichtung im AAR",$L46="DIN 43870 Zählerschrank, NH-Sicherung im NAR"),OR($AA46="unter 10 mm² oder starr",$AA46="Unbekannt",$AA46=""),$AG46&gt;0),Regeln!$E$6,""))</f>
        <v/>
      </c>
      <c r="AK46" s="14" t="str">
        <f aca="false">IF($A46="","",IF(AND($V46="Nein",$AG46&gt;0),Regeln!$E$7,""))</f>
        <v/>
      </c>
      <c r="AL46" s="14" t="str">
        <f aca="false">IF($A46="","",IF(AND(OR($AH46="Ja",$I46="Ja"),$O46="Nein"),Regeln!$E$8,""))</f>
        <v/>
      </c>
      <c r="AM46" s="14" t="str">
        <f aca="false">IF($A46="","",IF(AND($K46="Modul 2",N($N46)&lt;1),Regeln!$E$9,""))</f>
        <v/>
      </c>
      <c r="AN46" s="14" t="str">
        <f aca="false">IF($A46="","",IF(AND($P46="Nein",$AG46&gt;0,OR(ISNUMBER(SEARCH("westnetz",$D46)),$M46="3-Punkt")),Regeln!$E$10,""))</f>
        <v/>
      </c>
      <c r="AO46" s="14" t="str">
        <f aca="false">IF($A46="","",IF(AND($Q46="Nein",$AG46&gt;0),Regeln!$E$11,""))</f>
        <v/>
      </c>
      <c r="AP46" s="14" t="str">
        <f aca="false">IF($A46="","",IF(AND($R46="1-phasig",OR(N($J46)&gt;4.6,$I46="Ja")),Regeln!$E$12,""))</f>
        <v/>
      </c>
      <c r="AQ46" s="14" t="str">
        <f aca="false">IF($A46="","",IF(OR($U46="Nein",$U46="Unbekannt"),Regeln!$E$13,""))</f>
        <v/>
      </c>
      <c r="AR46" s="14" t="str">
        <f aca="false">IF($A46="","",IF(OR($S46="TN-C",$S46="Unbekannt"),Regeln!$E$14,""))</f>
        <v/>
      </c>
      <c r="AS46" s="14" t="str">
        <f aca="false">IF($A46="","",IF(AND(N($T46)&gt;0,N($T46)&lt;50,$AG46&gt;=2),Regeln!$E$15,""))</f>
        <v/>
      </c>
      <c r="AT46" s="14" t="str">
        <f aca="false">IF($A46="","",IF(AND($E46="Ja",N($J46)&gt;12),Regeln!$E$16,""))</f>
        <v/>
      </c>
      <c r="AU46" s="14" t="str">
        <f aca="false">IF($A46="","",IF($L46="Unbekannt",Regeln!$E$17,""))</f>
        <v/>
      </c>
      <c r="AV46" s="14" t="str">
        <f aca="false">IF($A46="","",IF(AND(OR($L46="DIN 43870 Zählerschrank, Trennvorrichtung im AAR",$L46="DIN 43870 Zählerschrank, NH-Sicherung im NAR"),$AG46&gt;0),Regeln!$E$18,""))</f>
        <v/>
      </c>
      <c r="AW46" s="14" t="str">
        <f aca="false">IF($A46="","",IF(AND(ISNUMBER(SEARCH("westnetz",$D46)),OR($AH46="Ja",$I46="Ja"),$X46="Nein"),Regeln!$E$19,""))</f>
        <v/>
      </c>
      <c r="AX46" s="14" t="str">
        <f aca="false">IF($A46="","",IF(AND(ISNUMBER(SEARCH("westnetz",$D46)),OR($W46="Relais (potentialfrei)",$W46="Digital + Relais",AND($I46="Ja",N($AC46)&gt;=25)),$Y46="Nein"),Regeln!$E$20,""))</f>
        <v/>
      </c>
      <c r="AY46" s="14" t="str">
        <f aca="false">IF($A46="","",IF(AND(ISNUMBER(SEARCH("westnetz",$D46)),OR($W46="Digital (RJ45 / EEBUS)",$W46="Digital + Relais"),$Z46="Nein"),Regeln!$E$21,""))</f>
        <v/>
      </c>
      <c r="AZ46" s="14" t="str">
        <f aca="false">IF($A46="","",IF(AND(ISNUMBER(SEARCH("westnetz",$D46)),N($AB46)&gt;30),Regeln!$E$22,""))</f>
        <v/>
      </c>
      <c r="BA46" s="14" t="str">
        <f aca="false">IF($A46="","",IF(AND($AA46="10 mm² flexibel",N($AB46)*1000/(SQRT(3)*400)&gt;32),Regeln!$E$23,""))</f>
        <v/>
      </c>
      <c r="BB46" s="14" t="str">
        <f aca="false">IF($A46="","",IF(AND(ISNUMBER(SEARCH("westnetz",$D46)),$I46="Ja",N($AC46)&gt;=25),Regeln!$E$24,""))</f>
        <v/>
      </c>
      <c r="BC46" s="14" t="str">
        <f aca="false">IF($A46="","",IF(AND(ISNUMBER(SEARCH("westnetz",$D46)),$I46="Ja",OR($AH46="Ja",N($AC46)&gt;7)),Regeln!$E$25,""))</f>
        <v/>
      </c>
      <c r="BD46" s="14" t="str">
        <f aca="false">IF($A46="","",IF(AND(ISNUMBER(SEARCH("westnetz",$D46)),$AH46="Ja"),Regeln!$E$26,""))</f>
        <v/>
      </c>
      <c r="BE46" s="14" t="str">
        <f aca="false">IF($A46="","",IF(AND(ISNUMBER(SEARCH("westnetz",$D46)),OR($W46="Relais (potentialfrei)",$W46="Digital + Relais"),$M46="3-Punkt",$AD46="Nein"),Regeln!$E$27,""))</f>
        <v/>
      </c>
      <c r="BF46" s="14" t="str">
        <f aca="false">IF($A46="","",IF(AND(ISNUMBER(SEARCH("westnetz",$D46)),$I46="Ja"),Regeln!$E$28,""))</f>
        <v/>
      </c>
      <c r="BG46" s="14" t="str">
        <f aca="false">IF($A46="","",IF(AND(ISNUMBER(SEARCH("westnetz",$D46)),$H46="Ja"),Regeln!$E$29,""))</f>
        <v/>
      </c>
      <c r="BH46" s="14" t="str">
        <f aca="false">IF($A46="","",IF(AND(ISNUMBER(SEARCH("westnetz",$D46)),OR($W46="Relais (potentialfrei)",$W46="Digital + Relais")),Regeln!$E$30,""))</f>
        <v/>
      </c>
      <c r="BI46" s="15" t="str">
        <f aca="false">IF($A46="","",IF($AG46=0,"Kein Vorhaben",CHOOSE(MAX(AI46:BH46)+1,"Weiterverwendbar","Nachrüsten","Austausch")))</f>
        <v/>
      </c>
      <c r="BJ46" s="16" t="str">
        <f aca="false">IF($A46="","",_xlfn.TEXTJOIN(", ",TRUE(),IF(AI46&lt;&gt;"",AI$3,""),IF(AJ46&lt;&gt;"",AJ$3,""),IF(AK46&lt;&gt;"",AK$3,""),IF(AL46&lt;&gt;"",AL$3,""),IF(AM46&lt;&gt;"",AM$3,""),IF(AN46&lt;&gt;"",AN$3,""),IF(AO46&lt;&gt;"",AO$3,""),IF(AP46&lt;&gt;"",AP$3,""),IF(AQ46&lt;&gt;"",AQ$3,""),IF(AR46&lt;&gt;"",AR$3,""),IF(AS46&lt;&gt;"",AS$3,""),IF(AT46&lt;&gt;"",AT$3,""),IF(AU46&lt;&gt;"",AU$3,""),IF(AV46&lt;&gt;"",AV$3,""),IF(AW46&lt;&gt;"",AW$3,""),IF(AX46&lt;&gt;"",AX$3,""),IF(AY46&lt;&gt;"",AY$3,""),IF(AZ46&lt;&gt;"",AZ$3,""),IF(BA46&lt;&gt;"",BA$3,""),IF(BB46&lt;&gt;"",BB$3,""),IF(BC46&lt;&gt;"",BC$3,""),IF(BD46&lt;&gt;"",BD$3,""),IF(BE46&lt;&gt;"",BE$3,""),IF(BF46&lt;&gt;"",BF$3,""),IF(BG46&lt;&gt;"",BG$3,""),IF(BH46&lt;&gt;"",BH$3,"")))</f>
        <v/>
      </c>
      <c r="BK46" s="15" t="str">
        <f aca="false">IF(OR($A46="",$AE46=""),"",IF(BI46=$AE46,"Ja","Nein"))</f>
        <v/>
      </c>
      <c r="BL46" s="16" t="str">
        <f aca="false">IF($A46="","",IF(NOT(ISNUMBER(SEARCH("westnetz",$D46))),"–",IF($I46="Ja",IF($K46="Modul 2","MK 8 (Kaskade: Z1 SteuVE, Z2 Haushalt)","MK 2 (Überschuss)"),IF($K46="Modul 2","MK 0 + eigener Zählpunkt SteuVE","MK 0"))))</f>
        <v/>
      </c>
    </row>
    <row r="47" customFormat="false" ht="15" hidden="false" customHeight="false" outlineLevel="0" collapsed="false">
      <c r="A47" s="17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9"/>
      <c r="AG47" s="14" t="str">
        <f aca="false">IF($A47="","",COUNTIF($E47:$I47,"Ja"))</f>
        <v/>
      </c>
      <c r="AH47" s="14" t="str">
        <f aca="false">IF($A47="","",IF(AND(COUNTIF($E47:$H47,"Ja")&gt;0,N($J47)&gt;=4.2),"Ja","Nein"))</f>
        <v/>
      </c>
      <c r="AI47" s="14" t="str">
        <f aca="false">IF($A47="","",IF(AND(OR($L47="DIN 43853 Zählertafel ohne Schutzklasse II",$L47="DIN 43853 Norm-Zählertafel (Schutzklasse II)",$L47="DIN 43870 Norm-Zählertafel mit Vorsicherung"),$AG47&gt;0),Regeln!$E$5,""))</f>
        <v/>
      </c>
      <c r="AJ47" s="14" t="str">
        <f aca="false">IF($A47="","",IF(AND(OR($L47="DIN 43870 Zählerschrank, Trennvorrichtung im AAR",$L47="DIN 43870 Zählerschrank, NH-Sicherung im NAR"),OR($AA47="unter 10 mm² oder starr",$AA47="Unbekannt",$AA47=""),$AG47&gt;0),Regeln!$E$6,""))</f>
        <v/>
      </c>
      <c r="AK47" s="14" t="str">
        <f aca="false">IF($A47="","",IF(AND($V47="Nein",$AG47&gt;0),Regeln!$E$7,""))</f>
        <v/>
      </c>
      <c r="AL47" s="14" t="str">
        <f aca="false">IF($A47="","",IF(AND(OR($AH47="Ja",$I47="Ja"),$O47="Nein"),Regeln!$E$8,""))</f>
        <v/>
      </c>
      <c r="AM47" s="14" t="str">
        <f aca="false">IF($A47="","",IF(AND($K47="Modul 2",N($N47)&lt;1),Regeln!$E$9,""))</f>
        <v/>
      </c>
      <c r="AN47" s="14" t="str">
        <f aca="false">IF($A47="","",IF(AND($P47="Nein",$AG47&gt;0,OR(ISNUMBER(SEARCH("westnetz",$D47)),$M47="3-Punkt")),Regeln!$E$10,""))</f>
        <v/>
      </c>
      <c r="AO47" s="14" t="str">
        <f aca="false">IF($A47="","",IF(AND($Q47="Nein",$AG47&gt;0),Regeln!$E$11,""))</f>
        <v/>
      </c>
      <c r="AP47" s="14" t="str">
        <f aca="false">IF($A47="","",IF(AND($R47="1-phasig",OR(N($J47)&gt;4.6,$I47="Ja")),Regeln!$E$12,""))</f>
        <v/>
      </c>
      <c r="AQ47" s="14" t="str">
        <f aca="false">IF($A47="","",IF(OR($U47="Nein",$U47="Unbekannt"),Regeln!$E$13,""))</f>
        <v/>
      </c>
      <c r="AR47" s="14" t="str">
        <f aca="false">IF($A47="","",IF(OR($S47="TN-C",$S47="Unbekannt"),Regeln!$E$14,""))</f>
        <v/>
      </c>
      <c r="AS47" s="14" t="str">
        <f aca="false">IF($A47="","",IF(AND(N($T47)&gt;0,N($T47)&lt;50,$AG47&gt;=2),Regeln!$E$15,""))</f>
        <v/>
      </c>
      <c r="AT47" s="14" t="str">
        <f aca="false">IF($A47="","",IF(AND($E47="Ja",N($J47)&gt;12),Regeln!$E$16,""))</f>
        <v/>
      </c>
      <c r="AU47" s="14" t="str">
        <f aca="false">IF($A47="","",IF($L47="Unbekannt",Regeln!$E$17,""))</f>
        <v/>
      </c>
      <c r="AV47" s="14" t="str">
        <f aca="false">IF($A47="","",IF(AND(OR($L47="DIN 43870 Zählerschrank, Trennvorrichtung im AAR",$L47="DIN 43870 Zählerschrank, NH-Sicherung im NAR"),$AG47&gt;0),Regeln!$E$18,""))</f>
        <v/>
      </c>
      <c r="AW47" s="14" t="str">
        <f aca="false">IF($A47="","",IF(AND(ISNUMBER(SEARCH("westnetz",$D47)),OR($AH47="Ja",$I47="Ja"),$X47="Nein"),Regeln!$E$19,""))</f>
        <v/>
      </c>
      <c r="AX47" s="14" t="str">
        <f aca="false">IF($A47="","",IF(AND(ISNUMBER(SEARCH("westnetz",$D47)),OR($W47="Relais (potentialfrei)",$W47="Digital + Relais",AND($I47="Ja",N($AC47)&gt;=25)),$Y47="Nein"),Regeln!$E$20,""))</f>
        <v/>
      </c>
      <c r="AY47" s="14" t="str">
        <f aca="false">IF($A47="","",IF(AND(ISNUMBER(SEARCH("westnetz",$D47)),OR($W47="Digital (RJ45 / EEBUS)",$W47="Digital + Relais"),$Z47="Nein"),Regeln!$E$21,""))</f>
        <v/>
      </c>
      <c r="AZ47" s="14" t="str">
        <f aca="false">IF($A47="","",IF(AND(ISNUMBER(SEARCH("westnetz",$D47)),N($AB47)&gt;30),Regeln!$E$22,""))</f>
        <v/>
      </c>
      <c r="BA47" s="14" t="str">
        <f aca="false">IF($A47="","",IF(AND($AA47="10 mm² flexibel",N($AB47)*1000/(SQRT(3)*400)&gt;32),Regeln!$E$23,""))</f>
        <v/>
      </c>
      <c r="BB47" s="14" t="str">
        <f aca="false">IF($A47="","",IF(AND(ISNUMBER(SEARCH("westnetz",$D47)),$I47="Ja",N($AC47)&gt;=25),Regeln!$E$24,""))</f>
        <v/>
      </c>
      <c r="BC47" s="14" t="str">
        <f aca="false">IF($A47="","",IF(AND(ISNUMBER(SEARCH("westnetz",$D47)),$I47="Ja",OR($AH47="Ja",N($AC47)&gt;7)),Regeln!$E$25,""))</f>
        <v/>
      </c>
      <c r="BD47" s="14" t="str">
        <f aca="false">IF($A47="","",IF(AND(ISNUMBER(SEARCH("westnetz",$D47)),$AH47="Ja"),Regeln!$E$26,""))</f>
        <v/>
      </c>
      <c r="BE47" s="14" t="str">
        <f aca="false">IF($A47="","",IF(AND(ISNUMBER(SEARCH("westnetz",$D47)),OR($W47="Relais (potentialfrei)",$W47="Digital + Relais"),$M47="3-Punkt",$AD47="Nein"),Regeln!$E$27,""))</f>
        <v/>
      </c>
      <c r="BF47" s="14" t="str">
        <f aca="false">IF($A47="","",IF(AND(ISNUMBER(SEARCH("westnetz",$D47)),$I47="Ja"),Regeln!$E$28,""))</f>
        <v/>
      </c>
      <c r="BG47" s="14" t="str">
        <f aca="false">IF($A47="","",IF(AND(ISNUMBER(SEARCH("westnetz",$D47)),$H47="Ja"),Regeln!$E$29,""))</f>
        <v/>
      </c>
      <c r="BH47" s="14" t="str">
        <f aca="false">IF($A47="","",IF(AND(ISNUMBER(SEARCH("westnetz",$D47)),OR($W47="Relais (potentialfrei)",$W47="Digital + Relais")),Regeln!$E$30,""))</f>
        <v/>
      </c>
      <c r="BI47" s="15" t="str">
        <f aca="false">IF($A47="","",IF($AG47=0,"Kein Vorhaben",CHOOSE(MAX(AI47:BH47)+1,"Weiterverwendbar","Nachrüsten","Austausch")))</f>
        <v/>
      </c>
      <c r="BJ47" s="16" t="str">
        <f aca="false">IF($A47="","",_xlfn.TEXTJOIN(", ",TRUE(),IF(AI47&lt;&gt;"",AI$3,""),IF(AJ47&lt;&gt;"",AJ$3,""),IF(AK47&lt;&gt;"",AK$3,""),IF(AL47&lt;&gt;"",AL$3,""),IF(AM47&lt;&gt;"",AM$3,""),IF(AN47&lt;&gt;"",AN$3,""),IF(AO47&lt;&gt;"",AO$3,""),IF(AP47&lt;&gt;"",AP$3,""),IF(AQ47&lt;&gt;"",AQ$3,""),IF(AR47&lt;&gt;"",AR$3,""),IF(AS47&lt;&gt;"",AS$3,""),IF(AT47&lt;&gt;"",AT$3,""),IF(AU47&lt;&gt;"",AU$3,""),IF(AV47&lt;&gt;"",AV$3,""),IF(AW47&lt;&gt;"",AW$3,""),IF(AX47&lt;&gt;"",AX$3,""),IF(AY47&lt;&gt;"",AY$3,""),IF(AZ47&lt;&gt;"",AZ$3,""),IF(BA47&lt;&gt;"",BA$3,""),IF(BB47&lt;&gt;"",BB$3,""),IF(BC47&lt;&gt;"",BC$3,""),IF(BD47&lt;&gt;"",BD$3,""),IF(BE47&lt;&gt;"",BE$3,""),IF(BF47&lt;&gt;"",BF$3,""),IF(BG47&lt;&gt;"",BG$3,""),IF(BH47&lt;&gt;"",BH$3,"")))</f>
        <v/>
      </c>
      <c r="BK47" s="15" t="str">
        <f aca="false">IF(OR($A47="",$AE47=""),"",IF(BI47=$AE47,"Ja","Nein"))</f>
        <v/>
      </c>
      <c r="BL47" s="16" t="str">
        <f aca="false">IF($A47="","",IF(NOT(ISNUMBER(SEARCH("westnetz",$D47))),"–",IF($I47="Ja",IF($K47="Modul 2","MK 8 (Kaskade: Z1 SteuVE, Z2 Haushalt)","MK 2 (Überschuss)"),IF($K47="Modul 2","MK 0 + eigener Zählpunkt SteuVE","MK 0"))))</f>
        <v/>
      </c>
    </row>
    <row r="48" customFormat="false" ht="15" hidden="false" customHeight="false" outlineLevel="0" collapsed="false">
      <c r="A48" s="17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9"/>
      <c r="AG48" s="14" t="str">
        <f aca="false">IF($A48="","",COUNTIF($E48:$I48,"Ja"))</f>
        <v/>
      </c>
      <c r="AH48" s="14" t="str">
        <f aca="false">IF($A48="","",IF(AND(COUNTIF($E48:$H48,"Ja")&gt;0,N($J48)&gt;=4.2),"Ja","Nein"))</f>
        <v/>
      </c>
      <c r="AI48" s="14" t="str">
        <f aca="false">IF($A48="","",IF(AND(OR($L48="DIN 43853 Zählertafel ohne Schutzklasse II",$L48="DIN 43853 Norm-Zählertafel (Schutzklasse II)",$L48="DIN 43870 Norm-Zählertafel mit Vorsicherung"),$AG48&gt;0),Regeln!$E$5,""))</f>
        <v/>
      </c>
      <c r="AJ48" s="14" t="str">
        <f aca="false">IF($A48="","",IF(AND(OR($L48="DIN 43870 Zählerschrank, Trennvorrichtung im AAR",$L48="DIN 43870 Zählerschrank, NH-Sicherung im NAR"),OR($AA48="unter 10 mm² oder starr",$AA48="Unbekannt",$AA48=""),$AG48&gt;0),Regeln!$E$6,""))</f>
        <v/>
      </c>
      <c r="AK48" s="14" t="str">
        <f aca="false">IF($A48="","",IF(AND($V48="Nein",$AG48&gt;0),Regeln!$E$7,""))</f>
        <v/>
      </c>
      <c r="AL48" s="14" t="str">
        <f aca="false">IF($A48="","",IF(AND(OR($AH48="Ja",$I48="Ja"),$O48="Nein"),Regeln!$E$8,""))</f>
        <v/>
      </c>
      <c r="AM48" s="14" t="str">
        <f aca="false">IF($A48="","",IF(AND($K48="Modul 2",N($N48)&lt;1),Regeln!$E$9,""))</f>
        <v/>
      </c>
      <c r="AN48" s="14" t="str">
        <f aca="false">IF($A48="","",IF(AND($P48="Nein",$AG48&gt;0,OR(ISNUMBER(SEARCH("westnetz",$D48)),$M48="3-Punkt")),Regeln!$E$10,""))</f>
        <v/>
      </c>
      <c r="AO48" s="14" t="str">
        <f aca="false">IF($A48="","",IF(AND($Q48="Nein",$AG48&gt;0),Regeln!$E$11,""))</f>
        <v/>
      </c>
      <c r="AP48" s="14" t="str">
        <f aca="false">IF($A48="","",IF(AND($R48="1-phasig",OR(N($J48)&gt;4.6,$I48="Ja")),Regeln!$E$12,""))</f>
        <v/>
      </c>
      <c r="AQ48" s="14" t="str">
        <f aca="false">IF($A48="","",IF(OR($U48="Nein",$U48="Unbekannt"),Regeln!$E$13,""))</f>
        <v/>
      </c>
      <c r="AR48" s="14" t="str">
        <f aca="false">IF($A48="","",IF(OR($S48="TN-C",$S48="Unbekannt"),Regeln!$E$14,""))</f>
        <v/>
      </c>
      <c r="AS48" s="14" t="str">
        <f aca="false">IF($A48="","",IF(AND(N($T48)&gt;0,N($T48)&lt;50,$AG48&gt;=2),Regeln!$E$15,""))</f>
        <v/>
      </c>
      <c r="AT48" s="14" t="str">
        <f aca="false">IF($A48="","",IF(AND($E48="Ja",N($J48)&gt;12),Regeln!$E$16,""))</f>
        <v/>
      </c>
      <c r="AU48" s="14" t="str">
        <f aca="false">IF($A48="","",IF($L48="Unbekannt",Regeln!$E$17,""))</f>
        <v/>
      </c>
      <c r="AV48" s="14" t="str">
        <f aca="false">IF($A48="","",IF(AND(OR($L48="DIN 43870 Zählerschrank, Trennvorrichtung im AAR",$L48="DIN 43870 Zählerschrank, NH-Sicherung im NAR"),$AG48&gt;0),Regeln!$E$18,""))</f>
        <v/>
      </c>
      <c r="AW48" s="14" t="str">
        <f aca="false">IF($A48="","",IF(AND(ISNUMBER(SEARCH("westnetz",$D48)),OR($AH48="Ja",$I48="Ja"),$X48="Nein"),Regeln!$E$19,""))</f>
        <v/>
      </c>
      <c r="AX48" s="14" t="str">
        <f aca="false">IF($A48="","",IF(AND(ISNUMBER(SEARCH("westnetz",$D48)),OR($W48="Relais (potentialfrei)",$W48="Digital + Relais",AND($I48="Ja",N($AC48)&gt;=25)),$Y48="Nein"),Regeln!$E$20,""))</f>
        <v/>
      </c>
      <c r="AY48" s="14" t="str">
        <f aca="false">IF($A48="","",IF(AND(ISNUMBER(SEARCH("westnetz",$D48)),OR($W48="Digital (RJ45 / EEBUS)",$W48="Digital + Relais"),$Z48="Nein"),Regeln!$E$21,""))</f>
        <v/>
      </c>
      <c r="AZ48" s="14" t="str">
        <f aca="false">IF($A48="","",IF(AND(ISNUMBER(SEARCH("westnetz",$D48)),N($AB48)&gt;30),Regeln!$E$22,""))</f>
        <v/>
      </c>
      <c r="BA48" s="14" t="str">
        <f aca="false">IF($A48="","",IF(AND($AA48="10 mm² flexibel",N($AB48)*1000/(SQRT(3)*400)&gt;32),Regeln!$E$23,""))</f>
        <v/>
      </c>
      <c r="BB48" s="14" t="str">
        <f aca="false">IF($A48="","",IF(AND(ISNUMBER(SEARCH("westnetz",$D48)),$I48="Ja",N($AC48)&gt;=25),Regeln!$E$24,""))</f>
        <v/>
      </c>
      <c r="BC48" s="14" t="str">
        <f aca="false">IF($A48="","",IF(AND(ISNUMBER(SEARCH("westnetz",$D48)),$I48="Ja",OR($AH48="Ja",N($AC48)&gt;7)),Regeln!$E$25,""))</f>
        <v/>
      </c>
      <c r="BD48" s="14" t="str">
        <f aca="false">IF($A48="","",IF(AND(ISNUMBER(SEARCH("westnetz",$D48)),$AH48="Ja"),Regeln!$E$26,""))</f>
        <v/>
      </c>
      <c r="BE48" s="14" t="str">
        <f aca="false">IF($A48="","",IF(AND(ISNUMBER(SEARCH("westnetz",$D48)),OR($W48="Relais (potentialfrei)",$W48="Digital + Relais"),$M48="3-Punkt",$AD48="Nein"),Regeln!$E$27,""))</f>
        <v/>
      </c>
      <c r="BF48" s="14" t="str">
        <f aca="false">IF($A48="","",IF(AND(ISNUMBER(SEARCH("westnetz",$D48)),$I48="Ja"),Regeln!$E$28,""))</f>
        <v/>
      </c>
      <c r="BG48" s="14" t="str">
        <f aca="false">IF($A48="","",IF(AND(ISNUMBER(SEARCH("westnetz",$D48)),$H48="Ja"),Regeln!$E$29,""))</f>
        <v/>
      </c>
      <c r="BH48" s="14" t="str">
        <f aca="false">IF($A48="","",IF(AND(ISNUMBER(SEARCH("westnetz",$D48)),OR($W48="Relais (potentialfrei)",$W48="Digital + Relais")),Regeln!$E$30,""))</f>
        <v/>
      </c>
      <c r="BI48" s="15" t="str">
        <f aca="false">IF($A48="","",IF($AG48=0,"Kein Vorhaben",CHOOSE(MAX(AI48:BH48)+1,"Weiterverwendbar","Nachrüsten","Austausch")))</f>
        <v/>
      </c>
      <c r="BJ48" s="16" t="str">
        <f aca="false">IF($A48="","",_xlfn.TEXTJOIN(", ",TRUE(),IF(AI48&lt;&gt;"",AI$3,""),IF(AJ48&lt;&gt;"",AJ$3,""),IF(AK48&lt;&gt;"",AK$3,""),IF(AL48&lt;&gt;"",AL$3,""),IF(AM48&lt;&gt;"",AM$3,""),IF(AN48&lt;&gt;"",AN$3,""),IF(AO48&lt;&gt;"",AO$3,""),IF(AP48&lt;&gt;"",AP$3,""),IF(AQ48&lt;&gt;"",AQ$3,""),IF(AR48&lt;&gt;"",AR$3,""),IF(AS48&lt;&gt;"",AS$3,""),IF(AT48&lt;&gt;"",AT$3,""),IF(AU48&lt;&gt;"",AU$3,""),IF(AV48&lt;&gt;"",AV$3,""),IF(AW48&lt;&gt;"",AW$3,""),IF(AX48&lt;&gt;"",AX$3,""),IF(AY48&lt;&gt;"",AY$3,""),IF(AZ48&lt;&gt;"",AZ$3,""),IF(BA48&lt;&gt;"",BA$3,""),IF(BB48&lt;&gt;"",BB$3,""),IF(BC48&lt;&gt;"",BC$3,""),IF(BD48&lt;&gt;"",BD$3,""),IF(BE48&lt;&gt;"",BE$3,""),IF(BF48&lt;&gt;"",BF$3,""),IF(BG48&lt;&gt;"",BG$3,""),IF(BH48&lt;&gt;"",BH$3,"")))</f>
        <v/>
      </c>
      <c r="BK48" s="15" t="str">
        <f aca="false">IF(OR($A48="",$AE48=""),"",IF(BI48=$AE48,"Ja","Nein"))</f>
        <v/>
      </c>
      <c r="BL48" s="16" t="str">
        <f aca="false">IF($A48="","",IF(NOT(ISNUMBER(SEARCH("westnetz",$D48))),"–",IF($I48="Ja",IF($K48="Modul 2","MK 8 (Kaskade: Z1 SteuVE, Z2 Haushalt)","MK 2 (Überschuss)"),IF($K48="Modul 2","MK 0 + eigener Zählpunkt SteuVE","MK 0"))))</f>
        <v/>
      </c>
    </row>
    <row r="49" customFormat="false" ht="15" hidden="false" customHeight="false" outlineLevel="0" collapsed="false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9"/>
      <c r="AG49" s="14" t="str">
        <f aca="false">IF($A49="","",COUNTIF($E49:$I49,"Ja"))</f>
        <v/>
      </c>
      <c r="AH49" s="14" t="str">
        <f aca="false">IF($A49="","",IF(AND(COUNTIF($E49:$H49,"Ja")&gt;0,N($J49)&gt;=4.2),"Ja","Nein"))</f>
        <v/>
      </c>
      <c r="AI49" s="14" t="str">
        <f aca="false">IF($A49="","",IF(AND(OR($L49="DIN 43853 Zählertafel ohne Schutzklasse II",$L49="DIN 43853 Norm-Zählertafel (Schutzklasse II)",$L49="DIN 43870 Norm-Zählertafel mit Vorsicherung"),$AG49&gt;0),Regeln!$E$5,""))</f>
        <v/>
      </c>
      <c r="AJ49" s="14" t="str">
        <f aca="false">IF($A49="","",IF(AND(OR($L49="DIN 43870 Zählerschrank, Trennvorrichtung im AAR",$L49="DIN 43870 Zählerschrank, NH-Sicherung im NAR"),OR($AA49="unter 10 mm² oder starr",$AA49="Unbekannt",$AA49=""),$AG49&gt;0),Regeln!$E$6,""))</f>
        <v/>
      </c>
      <c r="AK49" s="14" t="str">
        <f aca="false">IF($A49="","",IF(AND($V49="Nein",$AG49&gt;0),Regeln!$E$7,""))</f>
        <v/>
      </c>
      <c r="AL49" s="14" t="str">
        <f aca="false">IF($A49="","",IF(AND(OR($AH49="Ja",$I49="Ja"),$O49="Nein"),Regeln!$E$8,""))</f>
        <v/>
      </c>
      <c r="AM49" s="14" t="str">
        <f aca="false">IF($A49="","",IF(AND($K49="Modul 2",N($N49)&lt;1),Regeln!$E$9,""))</f>
        <v/>
      </c>
      <c r="AN49" s="14" t="str">
        <f aca="false">IF($A49="","",IF(AND($P49="Nein",$AG49&gt;0,OR(ISNUMBER(SEARCH("westnetz",$D49)),$M49="3-Punkt")),Regeln!$E$10,""))</f>
        <v/>
      </c>
      <c r="AO49" s="14" t="str">
        <f aca="false">IF($A49="","",IF(AND($Q49="Nein",$AG49&gt;0),Regeln!$E$11,""))</f>
        <v/>
      </c>
      <c r="AP49" s="14" t="str">
        <f aca="false">IF($A49="","",IF(AND($R49="1-phasig",OR(N($J49)&gt;4.6,$I49="Ja")),Regeln!$E$12,""))</f>
        <v/>
      </c>
      <c r="AQ49" s="14" t="str">
        <f aca="false">IF($A49="","",IF(OR($U49="Nein",$U49="Unbekannt"),Regeln!$E$13,""))</f>
        <v/>
      </c>
      <c r="AR49" s="14" t="str">
        <f aca="false">IF($A49="","",IF(OR($S49="TN-C",$S49="Unbekannt"),Regeln!$E$14,""))</f>
        <v/>
      </c>
      <c r="AS49" s="14" t="str">
        <f aca="false">IF($A49="","",IF(AND(N($T49)&gt;0,N($T49)&lt;50,$AG49&gt;=2),Regeln!$E$15,""))</f>
        <v/>
      </c>
      <c r="AT49" s="14" t="str">
        <f aca="false">IF($A49="","",IF(AND($E49="Ja",N($J49)&gt;12),Regeln!$E$16,""))</f>
        <v/>
      </c>
      <c r="AU49" s="14" t="str">
        <f aca="false">IF($A49="","",IF($L49="Unbekannt",Regeln!$E$17,""))</f>
        <v/>
      </c>
      <c r="AV49" s="14" t="str">
        <f aca="false">IF($A49="","",IF(AND(OR($L49="DIN 43870 Zählerschrank, Trennvorrichtung im AAR",$L49="DIN 43870 Zählerschrank, NH-Sicherung im NAR"),$AG49&gt;0),Regeln!$E$18,""))</f>
        <v/>
      </c>
      <c r="AW49" s="14" t="str">
        <f aca="false">IF($A49="","",IF(AND(ISNUMBER(SEARCH("westnetz",$D49)),OR($AH49="Ja",$I49="Ja"),$X49="Nein"),Regeln!$E$19,""))</f>
        <v/>
      </c>
      <c r="AX49" s="14" t="str">
        <f aca="false">IF($A49="","",IF(AND(ISNUMBER(SEARCH("westnetz",$D49)),OR($W49="Relais (potentialfrei)",$W49="Digital + Relais",AND($I49="Ja",N($AC49)&gt;=25)),$Y49="Nein"),Regeln!$E$20,""))</f>
        <v/>
      </c>
      <c r="AY49" s="14" t="str">
        <f aca="false">IF($A49="","",IF(AND(ISNUMBER(SEARCH("westnetz",$D49)),OR($W49="Digital (RJ45 / EEBUS)",$W49="Digital + Relais"),$Z49="Nein"),Regeln!$E$21,""))</f>
        <v/>
      </c>
      <c r="AZ49" s="14" t="str">
        <f aca="false">IF($A49="","",IF(AND(ISNUMBER(SEARCH("westnetz",$D49)),N($AB49)&gt;30),Regeln!$E$22,""))</f>
        <v/>
      </c>
      <c r="BA49" s="14" t="str">
        <f aca="false">IF($A49="","",IF(AND($AA49="10 mm² flexibel",N($AB49)*1000/(SQRT(3)*400)&gt;32),Regeln!$E$23,""))</f>
        <v/>
      </c>
      <c r="BB49" s="14" t="str">
        <f aca="false">IF($A49="","",IF(AND(ISNUMBER(SEARCH("westnetz",$D49)),$I49="Ja",N($AC49)&gt;=25),Regeln!$E$24,""))</f>
        <v/>
      </c>
      <c r="BC49" s="14" t="str">
        <f aca="false">IF($A49="","",IF(AND(ISNUMBER(SEARCH("westnetz",$D49)),$I49="Ja",OR($AH49="Ja",N($AC49)&gt;7)),Regeln!$E$25,""))</f>
        <v/>
      </c>
      <c r="BD49" s="14" t="str">
        <f aca="false">IF($A49="","",IF(AND(ISNUMBER(SEARCH("westnetz",$D49)),$AH49="Ja"),Regeln!$E$26,""))</f>
        <v/>
      </c>
      <c r="BE49" s="14" t="str">
        <f aca="false">IF($A49="","",IF(AND(ISNUMBER(SEARCH("westnetz",$D49)),OR($W49="Relais (potentialfrei)",$W49="Digital + Relais"),$M49="3-Punkt",$AD49="Nein"),Regeln!$E$27,""))</f>
        <v/>
      </c>
      <c r="BF49" s="14" t="str">
        <f aca="false">IF($A49="","",IF(AND(ISNUMBER(SEARCH("westnetz",$D49)),$I49="Ja"),Regeln!$E$28,""))</f>
        <v/>
      </c>
      <c r="BG49" s="14" t="str">
        <f aca="false">IF($A49="","",IF(AND(ISNUMBER(SEARCH("westnetz",$D49)),$H49="Ja"),Regeln!$E$29,""))</f>
        <v/>
      </c>
      <c r="BH49" s="14" t="str">
        <f aca="false">IF($A49="","",IF(AND(ISNUMBER(SEARCH("westnetz",$D49)),OR($W49="Relais (potentialfrei)",$W49="Digital + Relais")),Regeln!$E$30,""))</f>
        <v/>
      </c>
      <c r="BI49" s="15" t="str">
        <f aca="false">IF($A49="","",IF($AG49=0,"Kein Vorhaben",CHOOSE(MAX(AI49:BH49)+1,"Weiterverwendbar","Nachrüsten","Austausch")))</f>
        <v/>
      </c>
      <c r="BJ49" s="16" t="str">
        <f aca="false">IF($A49="","",_xlfn.TEXTJOIN(", ",TRUE(),IF(AI49&lt;&gt;"",AI$3,""),IF(AJ49&lt;&gt;"",AJ$3,""),IF(AK49&lt;&gt;"",AK$3,""),IF(AL49&lt;&gt;"",AL$3,""),IF(AM49&lt;&gt;"",AM$3,""),IF(AN49&lt;&gt;"",AN$3,""),IF(AO49&lt;&gt;"",AO$3,""),IF(AP49&lt;&gt;"",AP$3,""),IF(AQ49&lt;&gt;"",AQ$3,""),IF(AR49&lt;&gt;"",AR$3,""),IF(AS49&lt;&gt;"",AS$3,""),IF(AT49&lt;&gt;"",AT$3,""),IF(AU49&lt;&gt;"",AU$3,""),IF(AV49&lt;&gt;"",AV$3,""),IF(AW49&lt;&gt;"",AW$3,""),IF(AX49&lt;&gt;"",AX$3,""),IF(AY49&lt;&gt;"",AY$3,""),IF(AZ49&lt;&gt;"",AZ$3,""),IF(BA49&lt;&gt;"",BA$3,""),IF(BB49&lt;&gt;"",BB$3,""),IF(BC49&lt;&gt;"",BC$3,""),IF(BD49&lt;&gt;"",BD$3,""),IF(BE49&lt;&gt;"",BE$3,""),IF(BF49&lt;&gt;"",BF$3,""),IF(BG49&lt;&gt;"",BG$3,""),IF(BH49&lt;&gt;"",BH$3,"")))</f>
        <v/>
      </c>
      <c r="BK49" s="15" t="str">
        <f aca="false">IF(OR($A49="",$AE49=""),"",IF(BI49=$AE49,"Ja","Nein"))</f>
        <v/>
      </c>
      <c r="BL49" s="16" t="str">
        <f aca="false">IF($A49="","",IF(NOT(ISNUMBER(SEARCH("westnetz",$D49))),"–",IF($I49="Ja",IF($K49="Modul 2","MK 8 (Kaskade: Z1 SteuVE, Z2 Haushalt)","MK 2 (Überschuss)"),IF($K49="Modul 2","MK 0 + eigener Zählpunkt SteuVE","MK 0"))))</f>
        <v/>
      </c>
    </row>
    <row r="50" customFormat="false" ht="15" hidden="false" customHeight="false" outlineLevel="0" collapsed="false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9"/>
      <c r="AG50" s="14" t="str">
        <f aca="false">IF($A50="","",COUNTIF($E50:$I50,"Ja"))</f>
        <v/>
      </c>
      <c r="AH50" s="14" t="str">
        <f aca="false">IF($A50="","",IF(AND(COUNTIF($E50:$H50,"Ja")&gt;0,N($J50)&gt;=4.2),"Ja","Nein"))</f>
        <v/>
      </c>
      <c r="AI50" s="14" t="str">
        <f aca="false">IF($A50="","",IF(AND(OR($L50="DIN 43853 Zählertafel ohne Schutzklasse II",$L50="DIN 43853 Norm-Zählertafel (Schutzklasse II)",$L50="DIN 43870 Norm-Zählertafel mit Vorsicherung"),$AG50&gt;0),Regeln!$E$5,""))</f>
        <v/>
      </c>
      <c r="AJ50" s="14" t="str">
        <f aca="false">IF($A50="","",IF(AND(OR($L50="DIN 43870 Zählerschrank, Trennvorrichtung im AAR",$L50="DIN 43870 Zählerschrank, NH-Sicherung im NAR"),OR($AA50="unter 10 mm² oder starr",$AA50="Unbekannt",$AA50=""),$AG50&gt;0),Regeln!$E$6,""))</f>
        <v/>
      </c>
      <c r="AK50" s="14" t="str">
        <f aca="false">IF($A50="","",IF(AND($V50="Nein",$AG50&gt;0),Regeln!$E$7,""))</f>
        <v/>
      </c>
      <c r="AL50" s="14" t="str">
        <f aca="false">IF($A50="","",IF(AND(OR($AH50="Ja",$I50="Ja"),$O50="Nein"),Regeln!$E$8,""))</f>
        <v/>
      </c>
      <c r="AM50" s="14" t="str">
        <f aca="false">IF($A50="","",IF(AND($K50="Modul 2",N($N50)&lt;1),Regeln!$E$9,""))</f>
        <v/>
      </c>
      <c r="AN50" s="14" t="str">
        <f aca="false">IF($A50="","",IF(AND($P50="Nein",$AG50&gt;0,OR(ISNUMBER(SEARCH("westnetz",$D50)),$M50="3-Punkt")),Regeln!$E$10,""))</f>
        <v/>
      </c>
      <c r="AO50" s="14" t="str">
        <f aca="false">IF($A50="","",IF(AND($Q50="Nein",$AG50&gt;0),Regeln!$E$11,""))</f>
        <v/>
      </c>
      <c r="AP50" s="14" t="str">
        <f aca="false">IF($A50="","",IF(AND($R50="1-phasig",OR(N($J50)&gt;4.6,$I50="Ja")),Regeln!$E$12,""))</f>
        <v/>
      </c>
      <c r="AQ50" s="14" t="str">
        <f aca="false">IF($A50="","",IF(OR($U50="Nein",$U50="Unbekannt"),Regeln!$E$13,""))</f>
        <v/>
      </c>
      <c r="AR50" s="14" t="str">
        <f aca="false">IF($A50="","",IF(OR($S50="TN-C",$S50="Unbekannt"),Regeln!$E$14,""))</f>
        <v/>
      </c>
      <c r="AS50" s="14" t="str">
        <f aca="false">IF($A50="","",IF(AND(N($T50)&gt;0,N($T50)&lt;50,$AG50&gt;=2),Regeln!$E$15,""))</f>
        <v/>
      </c>
      <c r="AT50" s="14" t="str">
        <f aca="false">IF($A50="","",IF(AND($E50="Ja",N($J50)&gt;12),Regeln!$E$16,""))</f>
        <v/>
      </c>
      <c r="AU50" s="14" t="str">
        <f aca="false">IF($A50="","",IF($L50="Unbekannt",Regeln!$E$17,""))</f>
        <v/>
      </c>
      <c r="AV50" s="14" t="str">
        <f aca="false">IF($A50="","",IF(AND(OR($L50="DIN 43870 Zählerschrank, Trennvorrichtung im AAR",$L50="DIN 43870 Zählerschrank, NH-Sicherung im NAR"),$AG50&gt;0),Regeln!$E$18,""))</f>
        <v/>
      </c>
      <c r="AW50" s="14" t="str">
        <f aca="false">IF($A50="","",IF(AND(ISNUMBER(SEARCH("westnetz",$D50)),OR($AH50="Ja",$I50="Ja"),$X50="Nein"),Regeln!$E$19,""))</f>
        <v/>
      </c>
      <c r="AX50" s="14" t="str">
        <f aca="false">IF($A50="","",IF(AND(ISNUMBER(SEARCH("westnetz",$D50)),OR($W50="Relais (potentialfrei)",$W50="Digital + Relais",AND($I50="Ja",N($AC50)&gt;=25)),$Y50="Nein"),Regeln!$E$20,""))</f>
        <v/>
      </c>
      <c r="AY50" s="14" t="str">
        <f aca="false">IF($A50="","",IF(AND(ISNUMBER(SEARCH("westnetz",$D50)),OR($W50="Digital (RJ45 / EEBUS)",$W50="Digital + Relais"),$Z50="Nein"),Regeln!$E$21,""))</f>
        <v/>
      </c>
      <c r="AZ50" s="14" t="str">
        <f aca="false">IF($A50="","",IF(AND(ISNUMBER(SEARCH("westnetz",$D50)),N($AB50)&gt;30),Regeln!$E$22,""))</f>
        <v/>
      </c>
      <c r="BA50" s="14" t="str">
        <f aca="false">IF($A50="","",IF(AND($AA50="10 mm² flexibel",N($AB50)*1000/(SQRT(3)*400)&gt;32),Regeln!$E$23,""))</f>
        <v/>
      </c>
      <c r="BB50" s="14" t="str">
        <f aca="false">IF($A50="","",IF(AND(ISNUMBER(SEARCH("westnetz",$D50)),$I50="Ja",N($AC50)&gt;=25),Regeln!$E$24,""))</f>
        <v/>
      </c>
      <c r="BC50" s="14" t="str">
        <f aca="false">IF($A50="","",IF(AND(ISNUMBER(SEARCH("westnetz",$D50)),$I50="Ja",OR($AH50="Ja",N($AC50)&gt;7)),Regeln!$E$25,""))</f>
        <v/>
      </c>
      <c r="BD50" s="14" t="str">
        <f aca="false">IF($A50="","",IF(AND(ISNUMBER(SEARCH("westnetz",$D50)),$AH50="Ja"),Regeln!$E$26,""))</f>
        <v/>
      </c>
      <c r="BE50" s="14" t="str">
        <f aca="false">IF($A50="","",IF(AND(ISNUMBER(SEARCH("westnetz",$D50)),OR($W50="Relais (potentialfrei)",$W50="Digital + Relais"),$M50="3-Punkt",$AD50="Nein"),Regeln!$E$27,""))</f>
        <v/>
      </c>
      <c r="BF50" s="14" t="str">
        <f aca="false">IF($A50="","",IF(AND(ISNUMBER(SEARCH("westnetz",$D50)),$I50="Ja"),Regeln!$E$28,""))</f>
        <v/>
      </c>
      <c r="BG50" s="14" t="str">
        <f aca="false">IF($A50="","",IF(AND(ISNUMBER(SEARCH("westnetz",$D50)),$H50="Ja"),Regeln!$E$29,""))</f>
        <v/>
      </c>
      <c r="BH50" s="14" t="str">
        <f aca="false">IF($A50="","",IF(AND(ISNUMBER(SEARCH("westnetz",$D50)),OR($W50="Relais (potentialfrei)",$W50="Digital + Relais")),Regeln!$E$30,""))</f>
        <v/>
      </c>
      <c r="BI50" s="15" t="str">
        <f aca="false">IF($A50="","",IF($AG50=0,"Kein Vorhaben",CHOOSE(MAX(AI50:BH50)+1,"Weiterverwendbar","Nachrüsten","Austausch")))</f>
        <v/>
      </c>
      <c r="BJ50" s="16" t="str">
        <f aca="false">IF($A50="","",_xlfn.TEXTJOIN(", ",TRUE(),IF(AI50&lt;&gt;"",AI$3,""),IF(AJ50&lt;&gt;"",AJ$3,""),IF(AK50&lt;&gt;"",AK$3,""),IF(AL50&lt;&gt;"",AL$3,""),IF(AM50&lt;&gt;"",AM$3,""),IF(AN50&lt;&gt;"",AN$3,""),IF(AO50&lt;&gt;"",AO$3,""),IF(AP50&lt;&gt;"",AP$3,""),IF(AQ50&lt;&gt;"",AQ$3,""),IF(AR50&lt;&gt;"",AR$3,""),IF(AS50&lt;&gt;"",AS$3,""),IF(AT50&lt;&gt;"",AT$3,""),IF(AU50&lt;&gt;"",AU$3,""),IF(AV50&lt;&gt;"",AV$3,""),IF(AW50&lt;&gt;"",AW$3,""),IF(AX50&lt;&gt;"",AX$3,""),IF(AY50&lt;&gt;"",AY$3,""),IF(AZ50&lt;&gt;"",AZ$3,""),IF(BA50&lt;&gt;"",BA$3,""),IF(BB50&lt;&gt;"",BB$3,""),IF(BC50&lt;&gt;"",BC$3,""),IF(BD50&lt;&gt;"",BD$3,""),IF(BE50&lt;&gt;"",BE$3,""),IF(BF50&lt;&gt;"",BF$3,""),IF(BG50&lt;&gt;"",BG$3,""),IF(BH50&lt;&gt;"",BH$3,"")))</f>
        <v/>
      </c>
      <c r="BK50" s="15" t="str">
        <f aca="false">IF(OR($A50="",$AE50=""),"",IF(BI50=$AE50,"Ja","Nein"))</f>
        <v/>
      </c>
      <c r="BL50" s="16" t="str">
        <f aca="false">IF($A50="","",IF(NOT(ISNUMBER(SEARCH("westnetz",$D50))),"–",IF($I50="Ja",IF($K50="Modul 2","MK 8 (Kaskade: Z1 SteuVE, Z2 Haushalt)","MK 2 (Überschuss)"),IF($K50="Modul 2","MK 0 + eigener Zählpunkt SteuVE","MK 0"))))</f>
        <v/>
      </c>
    </row>
    <row r="51" customFormat="false" ht="15" hidden="false" customHeight="false" outlineLevel="0" collapsed="false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9"/>
      <c r="AG51" s="14" t="str">
        <f aca="false">IF($A51="","",COUNTIF($E51:$I51,"Ja"))</f>
        <v/>
      </c>
      <c r="AH51" s="14" t="str">
        <f aca="false">IF($A51="","",IF(AND(COUNTIF($E51:$H51,"Ja")&gt;0,N($J51)&gt;=4.2),"Ja","Nein"))</f>
        <v/>
      </c>
      <c r="AI51" s="14" t="str">
        <f aca="false">IF($A51="","",IF(AND(OR($L51="DIN 43853 Zählertafel ohne Schutzklasse II",$L51="DIN 43853 Norm-Zählertafel (Schutzklasse II)",$L51="DIN 43870 Norm-Zählertafel mit Vorsicherung"),$AG51&gt;0),Regeln!$E$5,""))</f>
        <v/>
      </c>
      <c r="AJ51" s="14" t="str">
        <f aca="false">IF($A51="","",IF(AND(OR($L51="DIN 43870 Zählerschrank, Trennvorrichtung im AAR",$L51="DIN 43870 Zählerschrank, NH-Sicherung im NAR"),OR($AA51="unter 10 mm² oder starr",$AA51="Unbekannt",$AA51=""),$AG51&gt;0),Regeln!$E$6,""))</f>
        <v/>
      </c>
      <c r="AK51" s="14" t="str">
        <f aca="false">IF($A51="","",IF(AND($V51="Nein",$AG51&gt;0),Regeln!$E$7,""))</f>
        <v/>
      </c>
      <c r="AL51" s="14" t="str">
        <f aca="false">IF($A51="","",IF(AND(OR($AH51="Ja",$I51="Ja"),$O51="Nein"),Regeln!$E$8,""))</f>
        <v/>
      </c>
      <c r="AM51" s="14" t="str">
        <f aca="false">IF($A51="","",IF(AND($K51="Modul 2",N($N51)&lt;1),Regeln!$E$9,""))</f>
        <v/>
      </c>
      <c r="AN51" s="14" t="str">
        <f aca="false">IF($A51="","",IF(AND($P51="Nein",$AG51&gt;0,OR(ISNUMBER(SEARCH("westnetz",$D51)),$M51="3-Punkt")),Regeln!$E$10,""))</f>
        <v/>
      </c>
      <c r="AO51" s="14" t="str">
        <f aca="false">IF($A51="","",IF(AND($Q51="Nein",$AG51&gt;0),Regeln!$E$11,""))</f>
        <v/>
      </c>
      <c r="AP51" s="14" t="str">
        <f aca="false">IF($A51="","",IF(AND($R51="1-phasig",OR(N($J51)&gt;4.6,$I51="Ja")),Regeln!$E$12,""))</f>
        <v/>
      </c>
      <c r="AQ51" s="14" t="str">
        <f aca="false">IF($A51="","",IF(OR($U51="Nein",$U51="Unbekannt"),Regeln!$E$13,""))</f>
        <v/>
      </c>
      <c r="AR51" s="14" t="str">
        <f aca="false">IF($A51="","",IF(OR($S51="TN-C",$S51="Unbekannt"),Regeln!$E$14,""))</f>
        <v/>
      </c>
      <c r="AS51" s="14" t="str">
        <f aca="false">IF($A51="","",IF(AND(N($T51)&gt;0,N($T51)&lt;50,$AG51&gt;=2),Regeln!$E$15,""))</f>
        <v/>
      </c>
      <c r="AT51" s="14" t="str">
        <f aca="false">IF($A51="","",IF(AND($E51="Ja",N($J51)&gt;12),Regeln!$E$16,""))</f>
        <v/>
      </c>
      <c r="AU51" s="14" t="str">
        <f aca="false">IF($A51="","",IF($L51="Unbekannt",Regeln!$E$17,""))</f>
        <v/>
      </c>
      <c r="AV51" s="14" t="str">
        <f aca="false">IF($A51="","",IF(AND(OR($L51="DIN 43870 Zählerschrank, Trennvorrichtung im AAR",$L51="DIN 43870 Zählerschrank, NH-Sicherung im NAR"),$AG51&gt;0),Regeln!$E$18,""))</f>
        <v/>
      </c>
      <c r="AW51" s="14" t="str">
        <f aca="false">IF($A51="","",IF(AND(ISNUMBER(SEARCH("westnetz",$D51)),OR($AH51="Ja",$I51="Ja"),$X51="Nein"),Regeln!$E$19,""))</f>
        <v/>
      </c>
      <c r="AX51" s="14" t="str">
        <f aca="false">IF($A51="","",IF(AND(ISNUMBER(SEARCH("westnetz",$D51)),OR($W51="Relais (potentialfrei)",$W51="Digital + Relais",AND($I51="Ja",N($AC51)&gt;=25)),$Y51="Nein"),Regeln!$E$20,""))</f>
        <v/>
      </c>
      <c r="AY51" s="14" t="str">
        <f aca="false">IF($A51="","",IF(AND(ISNUMBER(SEARCH("westnetz",$D51)),OR($W51="Digital (RJ45 / EEBUS)",$W51="Digital + Relais"),$Z51="Nein"),Regeln!$E$21,""))</f>
        <v/>
      </c>
      <c r="AZ51" s="14" t="str">
        <f aca="false">IF($A51="","",IF(AND(ISNUMBER(SEARCH("westnetz",$D51)),N($AB51)&gt;30),Regeln!$E$22,""))</f>
        <v/>
      </c>
      <c r="BA51" s="14" t="str">
        <f aca="false">IF($A51="","",IF(AND($AA51="10 mm² flexibel",N($AB51)*1000/(SQRT(3)*400)&gt;32),Regeln!$E$23,""))</f>
        <v/>
      </c>
      <c r="BB51" s="14" t="str">
        <f aca="false">IF($A51="","",IF(AND(ISNUMBER(SEARCH("westnetz",$D51)),$I51="Ja",N($AC51)&gt;=25),Regeln!$E$24,""))</f>
        <v/>
      </c>
      <c r="BC51" s="14" t="str">
        <f aca="false">IF($A51="","",IF(AND(ISNUMBER(SEARCH("westnetz",$D51)),$I51="Ja",OR($AH51="Ja",N($AC51)&gt;7)),Regeln!$E$25,""))</f>
        <v/>
      </c>
      <c r="BD51" s="14" t="str">
        <f aca="false">IF($A51="","",IF(AND(ISNUMBER(SEARCH("westnetz",$D51)),$AH51="Ja"),Regeln!$E$26,""))</f>
        <v/>
      </c>
      <c r="BE51" s="14" t="str">
        <f aca="false">IF($A51="","",IF(AND(ISNUMBER(SEARCH("westnetz",$D51)),OR($W51="Relais (potentialfrei)",$W51="Digital + Relais"),$M51="3-Punkt",$AD51="Nein"),Regeln!$E$27,""))</f>
        <v/>
      </c>
      <c r="BF51" s="14" t="str">
        <f aca="false">IF($A51="","",IF(AND(ISNUMBER(SEARCH("westnetz",$D51)),$I51="Ja"),Regeln!$E$28,""))</f>
        <v/>
      </c>
      <c r="BG51" s="14" t="str">
        <f aca="false">IF($A51="","",IF(AND(ISNUMBER(SEARCH("westnetz",$D51)),$H51="Ja"),Regeln!$E$29,""))</f>
        <v/>
      </c>
      <c r="BH51" s="14" t="str">
        <f aca="false">IF($A51="","",IF(AND(ISNUMBER(SEARCH("westnetz",$D51)),OR($W51="Relais (potentialfrei)",$W51="Digital + Relais")),Regeln!$E$30,""))</f>
        <v/>
      </c>
      <c r="BI51" s="15" t="str">
        <f aca="false">IF($A51="","",IF($AG51=0,"Kein Vorhaben",CHOOSE(MAX(AI51:BH51)+1,"Weiterverwendbar","Nachrüsten","Austausch")))</f>
        <v/>
      </c>
      <c r="BJ51" s="16" t="str">
        <f aca="false">IF($A51="","",_xlfn.TEXTJOIN(", ",TRUE(),IF(AI51&lt;&gt;"",AI$3,""),IF(AJ51&lt;&gt;"",AJ$3,""),IF(AK51&lt;&gt;"",AK$3,""),IF(AL51&lt;&gt;"",AL$3,""),IF(AM51&lt;&gt;"",AM$3,""),IF(AN51&lt;&gt;"",AN$3,""),IF(AO51&lt;&gt;"",AO$3,""),IF(AP51&lt;&gt;"",AP$3,""),IF(AQ51&lt;&gt;"",AQ$3,""),IF(AR51&lt;&gt;"",AR$3,""),IF(AS51&lt;&gt;"",AS$3,""),IF(AT51&lt;&gt;"",AT$3,""),IF(AU51&lt;&gt;"",AU$3,""),IF(AV51&lt;&gt;"",AV$3,""),IF(AW51&lt;&gt;"",AW$3,""),IF(AX51&lt;&gt;"",AX$3,""),IF(AY51&lt;&gt;"",AY$3,""),IF(AZ51&lt;&gt;"",AZ$3,""),IF(BA51&lt;&gt;"",BA$3,""),IF(BB51&lt;&gt;"",BB$3,""),IF(BC51&lt;&gt;"",BC$3,""),IF(BD51&lt;&gt;"",BD$3,""),IF(BE51&lt;&gt;"",BE$3,""),IF(BF51&lt;&gt;"",BF$3,""),IF(BG51&lt;&gt;"",BG$3,""),IF(BH51&lt;&gt;"",BH$3,"")))</f>
        <v/>
      </c>
      <c r="BK51" s="15" t="str">
        <f aca="false">IF(OR($A51="",$AE51=""),"",IF(BI51=$AE51,"Ja","Nein"))</f>
        <v/>
      </c>
      <c r="BL51" s="16" t="str">
        <f aca="false">IF($A51="","",IF(NOT(ISNUMBER(SEARCH("westnetz",$D51))),"–",IF($I51="Ja",IF($K51="Modul 2","MK 8 (Kaskade: Z1 SteuVE, Z2 Haushalt)","MK 2 (Überschuss)"),IF($K51="Modul 2","MK 0 + eigener Zählpunkt SteuVE","MK 0"))))</f>
        <v/>
      </c>
    </row>
    <row r="52" customFormat="false" ht="15" hidden="false" customHeight="false" outlineLevel="0" collapsed="false">
      <c r="A52" s="17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9"/>
      <c r="AG52" s="14" t="str">
        <f aca="false">IF($A52="","",COUNTIF($E52:$I52,"Ja"))</f>
        <v/>
      </c>
      <c r="AH52" s="14" t="str">
        <f aca="false">IF($A52="","",IF(AND(COUNTIF($E52:$H52,"Ja")&gt;0,N($J52)&gt;=4.2),"Ja","Nein"))</f>
        <v/>
      </c>
      <c r="AI52" s="14" t="str">
        <f aca="false">IF($A52="","",IF(AND(OR($L52="DIN 43853 Zählertafel ohne Schutzklasse II",$L52="DIN 43853 Norm-Zählertafel (Schutzklasse II)",$L52="DIN 43870 Norm-Zählertafel mit Vorsicherung"),$AG52&gt;0),Regeln!$E$5,""))</f>
        <v/>
      </c>
      <c r="AJ52" s="14" t="str">
        <f aca="false">IF($A52="","",IF(AND(OR($L52="DIN 43870 Zählerschrank, Trennvorrichtung im AAR",$L52="DIN 43870 Zählerschrank, NH-Sicherung im NAR"),OR($AA52="unter 10 mm² oder starr",$AA52="Unbekannt",$AA52=""),$AG52&gt;0),Regeln!$E$6,""))</f>
        <v/>
      </c>
      <c r="AK52" s="14" t="str">
        <f aca="false">IF($A52="","",IF(AND($V52="Nein",$AG52&gt;0),Regeln!$E$7,""))</f>
        <v/>
      </c>
      <c r="AL52" s="14" t="str">
        <f aca="false">IF($A52="","",IF(AND(OR($AH52="Ja",$I52="Ja"),$O52="Nein"),Regeln!$E$8,""))</f>
        <v/>
      </c>
      <c r="AM52" s="14" t="str">
        <f aca="false">IF($A52="","",IF(AND($K52="Modul 2",N($N52)&lt;1),Regeln!$E$9,""))</f>
        <v/>
      </c>
      <c r="AN52" s="14" t="str">
        <f aca="false">IF($A52="","",IF(AND($P52="Nein",$AG52&gt;0,OR(ISNUMBER(SEARCH("westnetz",$D52)),$M52="3-Punkt")),Regeln!$E$10,""))</f>
        <v/>
      </c>
      <c r="AO52" s="14" t="str">
        <f aca="false">IF($A52="","",IF(AND($Q52="Nein",$AG52&gt;0),Regeln!$E$11,""))</f>
        <v/>
      </c>
      <c r="AP52" s="14" t="str">
        <f aca="false">IF($A52="","",IF(AND($R52="1-phasig",OR(N($J52)&gt;4.6,$I52="Ja")),Regeln!$E$12,""))</f>
        <v/>
      </c>
      <c r="AQ52" s="14" t="str">
        <f aca="false">IF($A52="","",IF(OR($U52="Nein",$U52="Unbekannt"),Regeln!$E$13,""))</f>
        <v/>
      </c>
      <c r="AR52" s="14" t="str">
        <f aca="false">IF($A52="","",IF(OR($S52="TN-C",$S52="Unbekannt"),Regeln!$E$14,""))</f>
        <v/>
      </c>
      <c r="AS52" s="14" t="str">
        <f aca="false">IF($A52="","",IF(AND(N($T52)&gt;0,N($T52)&lt;50,$AG52&gt;=2),Regeln!$E$15,""))</f>
        <v/>
      </c>
      <c r="AT52" s="14" t="str">
        <f aca="false">IF($A52="","",IF(AND($E52="Ja",N($J52)&gt;12),Regeln!$E$16,""))</f>
        <v/>
      </c>
      <c r="AU52" s="14" t="str">
        <f aca="false">IF($A52="","",IF($L52="Unbekannt",Regeln!$E$17,""))</f>
        <v/>
      </c>
      <c r="AV52" s="14" t="str">
        <f aca="false">IF($A52="","",IF(AND(OR($L52="DIN 43870 Zählerschrank, Trennvorrichtung im AAR",$L52="DIN 43870 Zählerschrank, NH-Sicherung im NAR"),$AG52&gt;0),Regeln!$E$18,""))</f>
        <v/>
      </c>
      <c r="AW52" s="14" t="str">
        <f aca="false">IF($A52="","",IF(AND(ISNUMBER(SEARCH("westnetz",$D52)),OR($AH52="Ja",$I52="Ja"),$X52="Nein"),Regeln!$E$19,""))</f>
        <v/>
      </c>
      <c r="AX52" s="14" t="str">
        <f aca="false">IF($A52="","",IF(AND(ISNUMBER(SEARCH("westnetz",$D52)),OR($W52="Relais (potentialfrei)",$W52="Digital + Relais",AND($I52="Ja",N($AC52)&gt;=25)),$Y52="Nein"),Regeln!$E$20,""))</f>
        <v/>
      </c>
      <c r="AY52" s="14" t="str">
        <f aca="false">IF($A52="","",IF(AND(ISNUMBER(SEARCH("westnetz",$D52)),OR($W52="Digital (RJ45 / EEBUS)",$W52="Digital + Relais"),$Z52="Nein"),Regeln!$E$21,""))</f>
        <v/>
      </c>
      <c r="AZ52" s="14" t="str">
        <f aca="false">IF($A52="","",IF(AND(ISNUMBER(SEARCH("westnetz",$D52)),N($AB52)&gt;30),Regeln!$E$22,""))</f>
        <v/>
      </c>
      <c r="BA52" s="14" t="str">
        <f aca="false">IF($A52="","",IF(AND($AA52="10 mm² flexibel",N($AB52)*1000/(SQRT(3)*400)&gt;32),Regeln!$E$23,""))</f>
        <v/>
      </c>
      <c r="BB52" s="14" t="str">
        <f aca="false">IF($A52="","",IF(AND(ISNUMBER(SEARCH("westnetz",$D52)),$I52="Ja",N($AC52)&gt;=25),Regeln!$E$24,""))</f>
        <v/>
      </c>
      <c r="BC52" s="14" t="str">
        <f aca="false">IF($A52="","",IF(AND(ISNUMBER(SEARCH("westnetz",$D52)),$I52="Ja",OR($AH52="Ja",N($AC52)&gt;7)),Regeln!$E$25,""))</f>
        <v/>
      </c>
      <c r="BD52" s="14" t="str">
        <f aca="false">IF($A52="","",IF(AND(ISNUMBER(SEARCH("westnetz",$D52)),$AH52="Ja"),Regeln!$E$26,""))</f>
        <v/>
      </c>
      <c r="BE52" s="14" t="str">
        <f aca="false">IF($A52="","",IF(AND(ISNUMBER(SEARCH("westnetz",$D52)),OR($W52="Relais (potentialfrei)",$W52="Digital + Relais"),$M52="3-Punkt",$AD52="Nein"),Regeln!$E$27,""))</f>
        <v/>
      </c>
      <c r="BF52" s="14" t="str">
        <f aca="false">IF($A52="","",IF(AND(ISNUMBER(SEARCH("westnetz",$D52)),$I52="Ja"),Regeln!$E$28,""))</f>
        <v/>
      </c>
      <c r="BG52" s="14" t="str">
        <f aca="false">IF($A52="","",IF(AND(ISNUMBER(SEARCH("westnetz",$D52)),$H52="Ja"),Regeln!$E$29,""))</f>
        <v/>
      </c>
      <c r="BH52" s="14" t="str">
        <f aca="false">IF($A52="","",IF(AND(ISNUMBER(SEARCH("westnetz",$D52)),OR($W52="Relais (potentialfrei)",$W52="Digital + Relais")),Regeln!$E$30,""))</f>
        <v/>
      </c>
      <c r="BI52" s="15" t="str">
        <f aca="false">IF($A52="","",IF($AG52=0,"Kein Vorhaben",CHOOSE(MAX(AI52:BH52)+1,"Weiterverwendbar","Nachrüsten","Austausch")))</f>
        <v/>
      </c>
      <c r="BJ52" s="16" t="str">
        <f aca="false">IF($A52="","",_xlfn.TEXTJOIN(", ",TRUE(),IF(AI52&lt;&gt;"",AI$3,""),IF(AJ52&lt;&gt;"",AJ$3,""),IF(AK52&lt;&gt;"",AK$3,""),IF(AL52&lt;&gt;"",AL$3,""),IF(AM52&lt;&gt;"",AM$3,""),IF(AN52&lt;&gt;"",AN$3,""),IF(AO52&lt;&gt;"",AO$3,""),IF(AP52&lt;&gt;"",AP$3,""),IF(AQ52&lt;&gt;"",AQ$3,""),IF(AR52&lt;&gt;"",AR$3,""),IF(AS52&lt;&gt;"",AS$3,""),IF(AT52&lt;&gt;"",AT$3,""),IF(AU52&lt;&gt;"",AU$3,""),IF(AV52&lt;&gt;"",AV$3,""),IF(AW52&lt;&gt;"",AW$3,""),IF(AX52&lt;&gt;"",AX$3,""),IF(AY52&lt;&gt;"",AY$3,""),IF(AZ52&lt;&gt;"",AZ$3,""),IF(BA52&lt;&gt;"",BA$3,""),IF(BB52&lt;&gt;"",BB$3,""),IF(BC52&lt;&gt;"",BC$3,""),IF(BD52&lt;&gt;"",BD$3,""),IF(BE52&lt;&gt;"",BE$3,""),IF(BF52&lt;&gt;"",BF$3,""),IF(BG52&lt;&gt;"",BG$3,""),IF(BH52&lt;&gt;"",BH$3,"")))</f>
        <v/>
      </c>
      <c r="BK52" s="15" t="str">
        <f aca="false">IF(OR($A52="",$AE52=""),"",IF(BI52=$AE52,"Ja","Nein"))</f>
        <v/>
      </c>
      <c r="BL52" s="16" t="str">
        <f aca="false">IF($A52="","",IF(NOT(ISNUMBER(SEARCH("westnetz",$D52))),"–",IF($I52="Ja",IF($K52="Modul 2","MK 8 (Kaskade: Z1 SteuVE, Z2 Haushalt)","MK 2 (Überschuss)"),IF($K52="Modul 2","MK 0 + eigener Zählpunkt SteuVE","MK 0"))))</f>
        <v/>
      </c>
    </row>
    <row r="53" customFormat="false" ht="15" hidden="false" customHeight="false" outlineLevel="0" collapsed="false">
      <c r="A53" s="17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9"/>
      <c r="AG53" s="14" t="str">
        <f aca="false">IF($A53="","",COUNTIF($E53:$I53,"Ja"))</f>
        <v/>
      </c>
      <c r="AH53" s="14" t="str">
        <f aca="false">IF($A53="","",IF(AND(COUNTIF($E53:$H53,"Ja")&gt;0,N($J53)&gt;=4.2),"Ja","Nein"))</f>
        <v/>
      </c>
      <c r="AI53" s="14" t="str">
        <f aca="false">IF($A53="","",IF(AND(OR($L53="DIN 43853 Zählertafel ohne Schutzklasse II",$L53="DIN 43853 Norm-Zählertafel (Schutzklasse II)",$L53="DIN 43870 Norm-Zählertafel mit Vorsicherung"),$AG53&gt;0),Regeln!$E$5,""))</f>
        <v/>
      </c>
      <c r="AJ53" s="14" t="str">
        <f aca="false">IF($A53="","",IF(AND(OR($L53="DIN 43870 Zählerschrank, Trennvorrichtung im AAR",$L53="DIN 43870 Zählerschrank, NH-Sicherung im NAR"),OR($AA53="unter 10 mm² oder starr",$AA53="Unbekannt",$AA53=""),$AG53&gt;0),Regeln!$E$6,""))</f>
        <v/>
      </c>
      <c r="AK53" s="14" t="str">
        <f aca="false">IF($A53="","",IF(AND($V53="Nein",$AG53&gt;0),Regeln!$E$7,""))</f>
        <v/>
      </c>
      <c r="AL53" s="14" t="str">
        <f aca="false">IF($A53="","",IF(AND(OR($AH53="Ja",$I53="Ja"),$O53="Nein"),Regeln!$E$8,""))</f>
        <v/>
      </c>
      <c r="AM53" s="14" t="str">
        <f aca="false">IF($A53="","",IF(AND($K53="Modul 2",N($N53)&lt;1),Regeln!$E$9,""))</f>
        <v/>
      </c>
      <c r="AN53" s="14" t="str">
        <f aca="false">IF($A53="","",IF(AND($P53="Nein",$AG53&gt;0,OR(ISNUMBER(SEARCH("westnetz",$D53)),$M53="3-Punkt")),Regeln!$E$10,""))</f>
        <v/>
      </c>
      <c r="AO53" s="14" t="str">
        <f aca="false">IF($A53="","",IF(AND($Q53="Nein",$AG53&gt;0),Regeln!$E$11,""))</f>
        <v/>
      </c>
      <c r="AP53" s="14" t="str">
        <f aca="false">IF($A53="","",IF(AND($R53="1-phasig",OR(N($J53)&gt;4.6,$I53="Ja")),Regeln!$E$12,""))</f>
        <v/>
      </c>
      <c r="AQ53" s="14" t="str">
        <f aca="false">IF($A53="","",IF(OR($U53="Nein",$U53="Unbekannt"),Regeln!$E$13,""))</f>
        <v/>
      </c>
      <c r="AR53" s="14" t="str">
        <f aca="false">IF($A53="","",IF(OR($S53="TN-C",$S53="Unbekannt"),Regeln!$E$14,""))</f>
        <v/>
      </c>
      <c r="AS53" s="14" t="str">
        <f aca="false">IF($A53="","",IF(AND(N($T53)&gt;0,N($T53)&lt;50,$AG53&gt;=2),Regeln!$E$15,""))</f>
        <v/>
      </c>
      <c r="AT53" s="14" t="str">
        <f aca="false">IF($A53="","",IF(AND($E53="Ja",N($J53)&gt;12),Regeln!$E$16,""))</f>
        <v/>
      </c>
      <c r="AU53" s="14" t="str">
        <f aca="false">IF($A53="","",IF($L53="Unbekannt",Regeln!$E$17,""))</f>
        <v/>
      </c>
      <c r="AV53" s="14" t="str">
        <f aca="false">IF($A53="","",IF(AND(OR($L53="DIN 43870 Zählerschrank, Trennvorrichtung im AAR",$L53="DIN 43870 Zählerschrank, NH-Sicherung im NAR"),$AG53&gt;0),Regeln!$E$18,""))</f>
        <v/>
      </c>
      <c r="AW53" s="14" t="str">
        <f aca="false">IF($A53="","",IF(AND(ISNUMBER(SEARCH("westnetz",$D53)),OR($AH53="Ja",$I53="Ja"),$X53="Nein"),Regeln!$E$19,""))</f>
        <v/>
      </c>
      <c r="AX53" s="14" t="str">
        <f aca="false">IF($A53="","",IF(AND(ISNUMBER(SEARCH("westnetz",$D53)),OR($W53="Relais (potentialfrei)",$W53="Digital + Relais",AND($I53="Ja",N($AC53)&gt;=25)),$Y53="Nein"),Regeln!$E$20,""))</f>
        <v/>
      </c>
      <c r="AY53" s="14" t="str">
        <f aca="false">IF($A53="","",IF(AND(ISNUMBER(SEARCH("westnetz",$D53)),OR($W53="Digital (RJ45 / EEBUS)",$W53="Digital + Relais"),$Z53="Nein"),Regeln!$E$21,""))</f>
        <v/>
      </c>
      <c r="AZ53" s="14" t="str">
        <f aca="false">IF($A53="","",IF(AND(ISNUMBER(SEARCH("westnetz",$D53)),N($AB53)&gt;30),Regeln!$E$22,""))</f>
        <v/>
      </c>
      <c r="BA53" s="14" t="str">
        <f aca="false">IF($A53="","",IF(AND($AA53="10 mm² flexibel",N($AB53)*1000/(SQRT(3)*400)&gt;32),Regeln!$E$23,""))</f>
        <v/>
      </c>
      <c r="BB53" s="14" t="str">
        <f aca="false">IF($A53="","",IF(AND(ISNUMBER(SEARCH("westnetz",$D53)),$I53="Ja",N($AC53)&gt;=25),Regeln!$E$24,""))</f>
        <v/>
      </c>
      <c r="BC53" s="14" t="str">
        <f aca="false">IF($A53="","",IF(AND(ISNUMBER(SEARCH("westnetz",$D53)),$I53="Ja",OR($AH53="Ja",N($AC53)&gt;7)),Regeln!$E$25,""))</f>
        <v/>
      </c>
      <c r="BD53" s="14" t="str">
        <f aca="false">IF($A53="","",IF(AND(ISNUMBER(SEARCH("westnetz",$D53)),$AH53="Ja"),Regeln!$E$26,""))</f>
        <v/>
      </c>
      <c r="BE53" s="14" t="str">
        <f aca="false">IF($A53="","",IF(AND(ISNUMBER(SEARCH("westnetz",$D53)),OR($W53="Relais (potentialfrei)",$W53="Digital + Relais"),$M53="3-Punkt",$AD53="Nein"),Regeln!$E$27,""))</f>
        <v/>
      </c>
      <c r="BF53" s="14" t="str">
        <f aca="false">IF($A53="","",IF(AND(ISNUMBER(SEARCH("westnetz",$D53)),$I53="Ja"),Regeln!$E$28,""))</f>
        <v/>
      </c>
      <c r="BG53" s="14" t="str">
        <f aca="false">IF($A53="","",IF(AND(ISNUMBER(SEARCH("westnetz",$D53)),$H53="Ja"),Regeln!$E$29,""))</f>
        <v/>
      </c>
      <c r="BH53" s="14" t="str">
        <f aca="false">IF($A53="","",IF(AND(ISNUMBER(SEARCH("westnetz",$D53)),OR($W53="Relais (potentialfrei)",$W53="Digital + Relais")),Regeln!$E$30,""))</f>
        <v/>
      </c>
      <c r="BI53" s="15" t="str">
        <f aca="false">IF($A53="","",IF($AG53=0,"Kein Vorhaben",CHOOSE(MAX(AI53:BH53)+1,"Weiterverwendbar","Nachrüsten","Austausch")))</f>
        <v/>
      </c>
      <c r="BJ53" s="16" t="str">
        <f aca="false">IF($A53="","",_xlfn.TEXTJOIN(", ",TRUE(),IF(AI53&lt;&gt;"",AI$3,""),IF(AJ53&lt;&gt;"",AJ$3,""),IF(AK53&lt;&gt;"",AK$3,""),IF(AL53&lt;&gt;"",AL$3,""),IF(AM53&lt;&gt;"",AM$3,""),IF(AN53&lt;&gt;"",AN$3,""),IF(AO53&lt;&gt;"",AO$3,""),IF(AP53&lt;&gt;"",AP$3,""),IF(AQ53&lt;&gt;"",AQ$3,""),IF(AR53&lt;&gt;"",AR$3,""),IF(AS53&lt;&gt;"",AS$3,""),IF(AT53&lt;&gt;"",AT$3,""),IF(AU53&lt;&gt;"",AU$3,""),IF(AV53&lt;&gt;"",AV$3,""),IF(AW53&lt;&gt;"",AW$3,""),IF(AX53&lt;&gt;"",AX$3,""),IF(AY53&lt;&gt;"",AY$3,""),IF(AZ53&lt;&gt;"",AZ$3,""),IF(BA53&lt;&gt;"",BA$3,""),IF(BB53&lt;&gt;"",BB$3,""),IF(BC53&lt;&gt;"",BC$3,""),IF(BD53&lt;&gt;"",BD$3,""),IF(BE53&lt;&gt;"",BE$3,""),IF(BF53&lt;&gt;"",BF$3,""),IF(BG53&lt;&gt;"",BG$3,""),IF(BH53&lt;&gt;"",BH$3,"")))</f>
        <v/>
      </c>
      <c r="BK53" s="15" t="str">
        <f aca="false">IF(OR($A53="",$AE53=""),"",IF(BI53=$AE53,"Ja","Nein"))</f>
        <v/>
      </c>
      <c r="BL53" s="16" t="str">
        <f aca="false">IF($A53="","",IF(NOT(ISNUMBER(SEARCH("westnetz",$D53))),"–",IF($I53="Ja",IF($K53="Modul 2","MK 8 (Kaskade: Z1 SteuVE, Z2 Haushalt)","MK 2 (Überschuss)"),IF($K53="Modul 2","MK 0 + eigener Zählpunkt SteuVE","MK 0"))))</f>
        <v/>
      </c>
    </row>
  </sheetData>
  <mergeCells count="1">
    <mergeCell ref="A2:AE2"/>
  </mergeCells>
  <conditionalFormatting sqref="BI4:BI53">
    <cfRule type="cellIs" priority="2" operator="equal" aboveAverage="0" equalAverage="0" bottom="0" percent="0" rank="0" text="" dxfId="0">
      <formula>"Weiterverwendbar"</formula>
    </cfRule>
    <cfRule type="cellIs" priority="3" operator="equal" aboveAverage="0" equalAverage="0" bottom="0" percent="0" rank="0" text="" dxfId="1">
      <formula>"Nachrüsten"</formula>
    </cfRule>
    <cfRule type="cellIs" priority="4" operator="equal" aboveAverage="0" equalAverage="0" bottom="0" percent="0" rank="0" text="" dxfId="2">
      <formula>"Austausch"</formula>
    </cfRule>
  </conditionalFormatting>
  <conditionalFormatting sqref="BK4:BK53">
    <cfRule type="cellIs" priority="5" operator="equal" aboveAverage="0" equalAverage="0" bottom="0" percent="0" rank="0" text="" dxfId="3">
      <formula>"Ja"</formula>
    </cfRule>
    <cfRule type="cellIs" priority="6" operator="equal" aboveAverage="0" equalAverage="0" bottom="0" percent="0" rank="0" text="" dxfId="2">
      <formula>"Nein"</formula>
    </cfRule>
  </conditionalFormatting>
  <dataValidations count="25">
    <dataValidation allowBlank="true" error="Datum eingeben" errorStyle="stop" operator="greaterThan" showDropDown="false" showErrorMessage="true" showInputMessage="false" sqref="B4:B53" type="date">
      <formula1>36526</formula1>
      <formula2>0</formula2>
    </dataValidation>
    <dataValidation allowBlank="true" error="Bitte aus der Liste wählen" errorStyle="stop" operator="between" showDropDown="false" showErrorMessage="true" showInputMessage="false" sqref="E4:E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F4:F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G4:G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H4:H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I4:I53" type="list">
      <formula1>Listen!$A$2:$A$3</formula1>
      <formula2>0</formula2>
    </dataValidation>
    <dataValidation allowBlank="true" error="Leistung in kW (0–100)" errorStyle="stop" operator="between" showDropDown="false" showErrorMessage="true" showInputMessage="false" sqref="J4:J53 AB4:AC53" type="decimal">
      <formula1>0</formula1>
      <formula2>100</formula2>
    </dataValidation>
    <dataValidation allowBlank="true" error="Bitte aus der Liste wählen" errorStyle="stop" operator="between" showDropDown="false" showErrorMessage="true" showInputMessage="false" sqref="K4:K53" type="list">
      <formula1>Listen!$C$2:$C$5</formula1>
      <formula2>0</formula2>
    </dataValidation>
    <dataValidation allowBlank="true" error="Bitte aus der Liste wählen" errorStyle="stop" operator="between" showDropDown="false" showErrorMessage="true" showInputMessage="false" sqref="L4:L53" type="list">
      <formula1>Listen!$D$2:$D$9</formula1>
      <formula2>0</formula2>
    </dataValidation>
    <dataValidation allowBlank="true" error="Bitte aus der Liste wählen" errorStyle="stop" operator="between" showDropDown="false" showErrorMessage="true" showInputMessage="false" sqref="M4:M53" type="list">
      <formula1>Listen!$E$2:$E$3</formula1>
      <formula2>0</formula2>
    </dataValidation>
    <dataValidation allowBlank="true" error="Ganze Zahl" errorStyle="stop" operator="between" showDropDown="false" showErrorMessage="true" showInputMessage="false" sqref="N4:N53 T4:T53" type="whole">
      <formula1>0</formula1>
      <formula2>400</formula2>
    </dataValidation>
    <dataValidation allowBlank="true" error="Bitte aus der Liste wählen" errorStyle="stop" operator="between" showDropDown="false" showErrorMessage="true" showInputMessage="false" sqref="O4:O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P4:P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Q4:Q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R4:R53" type="list">
      <formula1>Listen!$F$2:$F$3</formula1>
      <formula2>0</formula2>
    </dataValidation>
    <dataValidation allowBlank="true" error="Bitte aus der Liste wählen" errorStyle="stop" operator="between" showDropDown="false" showErrorMessage="true" showInputMessage="false" sqref="S4:S53" type="list">
      <formula1>Listen!$G$2:$G$6</formula1>
      <formula2>0</formula2>
    </dataValidation>
    <dataValidation allowBlank="true" error="Bitte aus der Liste wählen" errorStyle="stop" operator="between" showDropDown="false" showErrorMessage="true" showInputMessage="false" sqref="U4:U53" type="list">
      <formula1>Listen!$B$2:$B$4</formula1>
      <formula2>0</formula2>
    </dataValidation>
    <dataValidation allowBlank="true" error="Bitte aus der Liste wählen" errorStyle="stop" operator="between" showDropDown="false" showErrorMessage="true" showInputMessage="false" sqref="V4:V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W4:W53" type="list">
      <formula1>Listen!$J$2:$J$5</formula1>
      <formula2>0</formula2>
    </dataValidation>
    <dataValidation allowBlank="true" error="Bitte aus der Liste wählen" errorStyle="stop" operator="between" showDropDown="false" showErrorMessage="true" showInputMessage="false" sqref="X4:X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Y4:Y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Z4:Z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AA4:AA53" type="list">
      <formula1>Listen!$I$2:$I$5</formula1>
      <formula2>0</formula2>
    </dataValidation>
    <dataValidation allowBlank="true" error="Bitte aus der Liste wählen" errorStyle="stop" operator="between" showDropDown="false" showErrorMessage="true" showInputMessage="false" sqref="AD4:AD53" type="list">
      <formula1>Listen!$A$2:$A$3</formula1>
      <formula2>0</formula2>
    </dataValidation>
    <dataValidation allowBlank="true" error="Bitte aus der Liste wählen" errorStyle="stop" operator="between" showDropDown="false" showErrorMessage="true" showInputMessage="false" sqref="AE4:AE53" type="list">
      <formula1>Listen!$H$2:$H$4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5" t="s">
        <v>126</v>
      </c>
    </row>
    <row r="2" customFormat="false" ht="45" hidden="false" customHeight="true" outlineLevel="0" collapsed="false">
      <c r="A2" s="20" t="s">
        <v>127</v>
      </c>
      <c r="B2" s="20"/>
      <c r="C2" s="20"/>
      <c r="D2" s="20"/>
      <c r="E2" s="20"/>
      <c r="F2" s="20"/>
      <c r="G2" s="20"/>
      <c r="H2" s="20"/>
      <c r="I2" s="20"/>
    </row>
    <row r="3" customFormat="false" ht="15" hidden="false" customHeight="false" outlineLevel="0" collapsed="false">
      <c r="A3" s="21" t="s">
        <v>128</v>
      </c>
      <c r="B3" s="21"/>
      <c r="C3" s="21"/>
      <c r="D3" s="21"/>
      <c r="E3" s="21"/>
      <c r="F3" s="21"/>
      <c r="G3" s="21"/>
      <c r="H3" s="21"/>
      <c r="I3" s="21"/>
    </row>
    <row r="4" customFormat="false" ht="15" hidden="false" customHeight="false" outlineLevel="0" collapsed="false">
      <c r="A4" s="9" t="s">
        <v>129</v>
      </c>
      <c r="B4" s="9" t="s">
        <v>130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137</v>
      </c>
    </row>
    <row r="5" customFormat="false" ht="39.55" hidden="false" customHeight="false" outlineLevel="0" collapsed="false">
      <c r="A5" s="22" t="s">
        <v>82</v>
      </c>
      <c r="B5" s="22" t="s">
        <v>22</v>
      </c>
      <c r="C5" s="22" t="s">
        <v>138</v>
      </c>
      <c r="D5" s="22" t="s">
        <v>139</v>
      </c>
      <c r="E5" s="23" t="n">
        <v>2</v>
      </c>
      <c r="F5" s="22" t="s">
        <v>140</v>
      </c>
      <c r="G5" s="22" t="s">
        <v>141</v>
      </c>
      <c r="H5" s="22" t="s">
        <v>142</v>
      </c>
      <c r="I5" s="24"/>
    </row>
    <row r="6" customFormat="false" ht="39.55" hidden="false" customHeight="false" outlineLevel="0" collapsed="false">
      <c r="A6" s="22" t="s">
        <v>83</v>
      </c>
      <c r="B6" s="22" t="s">
        <v>23</v>
      </c>
      <c r="C6" s="22" t="s">
        <v>143</v>
      </c>
      <c r="D6" s="22" t="s">
        <v>144</v>
      </c>
      <c r="E6" s="23" t="n">
        <v>1</v>
      </c>
      <c r="F6" s="22" t="s">
        <v>145</v>
      </c>
      <c r="G6" s="22" t="s">
        <v>141</v>
      </c>
      <c r="H6" s="22" t="s">
        <v>142</v>
      </c>
      <c r="I6" s="24"/>
    </row>
    <row r="7" customFormat="false" ht="39.55" hidden="false" customHeight="false" outlineLevel="0" collapsed="false">
      <c r="A7" s="22" t="s">
        <v>84</v>
      </c>
      <c r="B7" s="22" t="s">
        <v>24</v>
      </c>
      <c r="C7" s="22" t="s">
        <v>146</v>
      </c>
      <c r="D7" s="22" t="s">
        <v>147</v>
      </c>
      <c r="E7" s="23" t="n">
        <v>1</v>
      </c>
      <c r="F7" s="22" t="s">
        <v>148</v>
      </c>
      <c r="G7" s="22" t="s">
        <v>141</v>
      </c>
      <c r="H7" s="22" t="s">
        <v>142</v>
      </c>
      <c r="I7" s="24"/>
    </row>
    <row r="8" customFormat="false" ht="90.25" hidden="false" customHeight="false" outlineLevel="0" collapsed="false">
      <c r="A8" s="22" t="s">
        <v>85</v>
      </c>
      <c r="B8" s="22" t="s">
        <v>25</v>
      </c>
      <c r="C8" s="22" t="s">
        <v>149</v>
      </c>
      <c r="D8" s="22" t="s">
        <v>150</v>
      </c>
      <c r="E8" s="23" t="n">
        <v>1</v>
      </c>
      <c r="F8" s="22" t="s">
        <v>151</v>
      </c>
      <c r="G8" s="22" t="s">
        <v>152</v>
      </c>
      <c r="H8" s="22" t="s">
        <v>142</v>
      </c>
      <c r="I8" s="24"/>
    </row>
    <row r="9" customFormat="false" ht="52.2" hidden="false" customHeight="false" outlineLevel="0" collapsed="false">
      <c r="A9" s="22" t="s">
        <v>86</v>
      </c>
      <c r="B9" s="22" t="s">
        <v>26</v>
      </c>
      <c r="C9" s="22" t="s">
        <v>153</v>
      </c>
      <c r="D9" s="22" t="s">
        <v>154</v>
      </c>
      <c r="E9" s="23" t="n">
        <v>1</v>
      </c>
      <c r="F9" s="22" t="s">
        <v>155</v>
      </c>
      <c r="G9" s="22" t="s">
        <v>141</v>
      </c>
      <c r="H9" s="22" t="s">
        <v>142</v>
      </c>
      <c r="I9" s="24"/>
    </row>
    <row r="10" customFormat="false" ht="52.2" hidden="false" customHeight="false" outlineLevel="0" collapsed="false">
      <c r="A10" s="22" t="s">
        <v>87</v>
      </c>
      <c r="B10" s="22" t="s">
        <v>27</v>
      </c>
      <c r="C10" s="22" t="s">
        <v>156</v>
      </c>
      <c r="D10" s="22" t="s">
        <v>157</v>
      </c>
      <c r="E10" s="23" t="n">
        <v>1</v>
      </c>
      <c r="F10" s="22" t="s">
        <v>158</v>
      </c>
      <c r="G10" s="22" t="s">
        <v>159</v>
      </c>
      <c r="H10" s="22" t="s">
        <v>142</v>
      </c>
      <c r="I10" s="24"/>
    </row>
    <row r="11" customFormat="false" ht="26.85" hidden="false" customHeight="false" outlineLevel="0" collapsed="false">
      <c r="A11" s="22" t="s">
        <v>88</v>
      </c>
      <c r="B11" s="22" t="s">
        <v>28</v>
      </c>
      <c r="C11" s="22" t="s">
        <v>160</v>
      </c>
      <c r="D11" s="22" t="s">
        <v>161</v>
      </c>
      <c r="E11" s="23" t="n">
        <v>1</v>
      </c>
      <c r="F11" s="22" t="s">
        <v>162</v>
      </c>
      <c r="G11" s="22" t="s">
        <v>141</v>
      </c>
      <c r="H11" s="22" t="s">
        <v>163</v>
      </c>
      <c r="I11" s="24"/>
    </row>
    <row r="12" customFormat="false" ht="39.55" hidden="false" customHeight="false" outlineLevel="0" collapsed="false">
      <c r="A12" s="22" t="s">
        <v>89</v>
      </c>
      <c r="B12" s="22" t="s">
        <v>29</v>
      </c>
      <c r="C12" s="22" t="s">
        <v>164</v>
      </c>
      <c r="D12" s="22" t="s">
        <v>165</v>
      </c>
      <c r="E12" s="23" t="n">
        <v>1</v>
      </c>
      <c r="F12" s="22" t="s">
        <v>166</v>
      </c>
      <c r="G12" s="22" t="s">
        <v>141</v>
      </c>
      <c r="H12" s="22" t="s">
        <v>142</v>
      </c>
      <c r="I12" s="24"/>
    </row>
    <row r="13" customFormat="false" ht="15" hidden="false" customHeight="false" outlineLevel="0" collapsed="false">
      <c r="A13" s="22" t="s">
        <v>90</v>
      </c>
      <c r="B13" s="22" t="s">
        <v>30</v>
      </c>
      <c r="C13" s="22" t="s">
        <v>167</v>
      </c>
      <c r="D13" s="22" t="s">
        <v>168</v>
      </c>
      <c r="E13" s="23" t="n">
        <v>0</v>
      </c>
      <c r="F13" s="22" t="s">
        <v>169</v>
      </c>
      <c r="G13" s="22" t="s">
        <v>141</v>
      </c>
      <c r="H13" s="22" t="s">
        <v>170</v>
      </c>
      <c r="I13" s="24"/>
    </row>
    <row r="14" customFormat="false" ht="39.55" hidden="false" customHeight="false" outlineLevel="0" collapsed="false">
      <c r="A14" s="22" t="s">
        <v>91</v>
      </c>
      <c r="B14" s="22" t="s">
        <v>31</v>
      </c>
      <c r="C14" s="22" t="s">
        <v>171</v>
      </c>
      <c r="D14" s="22" t="s">
        <v>172</v>
      </c>
      <c r="E14" s="23" t="n">
        <v>0</v>
      </c>
      <c r="F14" s="22" t="s">
        <v>173</v>
      </c>
      <c r="G14" s="22" t="s">
        <v>141</v>
      </c>
      <c r="H14" s="22" t="s">
        <v>142</v>
      </c>
      <c r="I14" s="24"/>
    </row>
    <row r="15" customFormat="false" ht="26.85" hidden="false" customHeight="false" outlineLevel="0" collapsed="false">
      <c r="A15" s="22" t="s">
        <v>92</v>
      </c>
      <c r="B15" s="22" t="s">
        <v>32</v>
      </c>
      <c r="C15" s="22" t="s">
        <v>174</v>
      </c>
      <c r="D15" s="22" t="s">
        <v>175</v>
      </c>
      <c r="E15" s="23" t="n">
        <v>0</v>
      </c>
      <c r="F15" s="22" t="s">
        <v>176</v>
      </c>
      <c r="G15" s="22" t="s">
        <v>141</v>
      </c>
      <c r="H15" s="22" t="s">
        <v>177</v>
      </c>
      <c r="I15" s="24"/>
    </row>
    <row r="16" customFormat="false" ht="26.85" hidden="false" customHeight="false" outlineLevel="0" collapsed="false">
      <c r="A16" s="22" t="s">
        <v>93</v>
      </c>
      <c r="B16" s="22" t="s">
        <v>33</v>
      </c>
      <c r="C16" s="22" t="s">
        <v>178</v>
      </c>
      <c r="D16" s="22" t="s">
        <v>179</v>
      </c>
      <c r="E16" s="23" t="n">
        <v>0</v>
      </c>
      <c r="F16" s="22" t="s">
        <v>180</v>
      </c>
      <c r="G16" s="22" t="s">
        <v>141</v>
      </c>
      <c r="H16" s="22" t="s">
        <v>142</v>
      </c>
      <c r="I16" s="24"/>
    </row>
    <row r="17" customFormat="false" ht="26.85" hidden="false" customHeight="false" outlineLevel="0" collapsed="false">
      <c r="A17" s="22" t="s">
        <v>94</v>
      </c>
      <c r="B17" s="22" t="s">
        <v>34</v>
      </c>
      <c r="C17" s="22" t="s">
        <v>181</v>
      </c>
      <c r="D17" s="22" t="s">
        <v>182</v>
      </c>
      <c r="E17" s="23" t="n">
        <v>0</v>
      </c>
      <c r="F17" s="22" t="s">
        <v>183</v>
      </c>
      <c r="G17" s="22" t="s">
        <v>141</v>
      </c>
      <c r="H17" s="22" t="s">
        <v>184</v>
      </c>
      <c r="I17" s="24"/>
    </row>
    <row r="18" customFormat="false" ht="39.55" hidden="false" customHeight="false" outlineLevel="0" collapsed="false">
      <c r="A18" s="22" t="s">
        <v>95</v>
      </c>
      <c r="B18" s="22" t="s">
        <v>35</v>
      </c>
      <c r="C18" s="22" t="s">
        <v>185</v>
      </c>
      <c r="D18" s="22" t="s">
        <v>186</v>
      </c>
      <c r="E18" s="23" t="n">
        <v>1</v>
      </c>
      <c r="F18" s="22" t="s">
        <v>187</v>
      </c>
      <c r="G18" s="22" t="s">
        <v>141</v>
      </c>
      <c r="H18" s="22" t="s">
        <v>142</v>
      </c>
      <c r="I18" s="24"/>
    </row>
    <row r="19" customFormat="false" ht="52.2" hidden="false" customHeight="false" outlineLevel="0" collapsed="false">
      <c r="A19" s="22" t="s">
        <v>96</v>
      </c>
      <c r="B19" s="22" t="s">
        <v>36</v>
      </c>
      <c r="C19" s="22" t="s">
        <v>188</v>
      </c>
      <c r="D19" s="22" t="s">
        <v>189</v>
      </c>
      <c r="E19" s="23" t="n">
        <v>1</v>
      </c>
      <c r="F19" s="22" t="s">
        <v>190</v>
      </c>
      <c r="G19" s="22" t="s">
        <v>114</v>
      </c>
      <c r="H19" s="22" t="s">
        <v>142</v>
      </c>
      <c r="I19" s="24"/>
    </row>
    <row r="20" customFormat="false" ht="64.9" hidden="false" customHeight="false" outlineLevel="0" collapsed="false">
      <c r="A20" s="22" t="s">
        <v>97</v>
      </c>
      <c r="B20" s="22" t="s">
        <v>37</v>
      </c>
      <c r="C20" s="22" t="s">
        <v>191</v>
      </c>
      <c r="D20" s="22" t="s">
        <v>192</v>
      </c>
      <c r="E20" s="23" t="n">
        <v>1</v>
      </c>
      <c r="F20" s="22" t="s">
        <v>193</v>
      </c>
      <c r="G20" s="22" t="s">
        <v>114</v>
      </c>
      <c r="H20" s="22" t="s">
        <v>142</v>
      </c>
      <c r="I20" s="24"/>
    </row>
    <row r="21" customFormat="false" ht="39.55" hidden="false" customHeight="false" outlineLevel="0" collapsed="false">
      <c r="A21" s="22" t="s">
        <v>98</v>
      </c>
      <c r="B21" s="22" t="s">
        <v>38</v>
      </c>
      <c r="C21" s="22" t="s">
        <v>194</v>
      </c>
      <c r="D21" s="22" t="s">
        <v>195</v>
      </c>
      <c r="E21" s="23" t="n">
        <v>1</v>
      </c>
      <c r="F21" s="22" t="s">
        <v>196</v>
      </c>
      <c r="G21" s="22" t="s">
        <v>114</v>
      </c>
      <c r="H21" s="22" t="s">
        <v>142</v>
      </c>
      <c r="I21" s="24"/>
    </row>
    <row r="22" customFormat="false" ht="39.55" hidden="false" customHeight="false" outlineLevel="0" collapsed="false">
      <c r="A22" s="22" t="s">
        <v>99</v>
      </c>
      <c r="B22" s="22" t="s">
        <v>39</v>
      </c>
      <c r="C22" s="22" t="s">
        <v>197</v>
      </c>
      <c r="D22" s="22" t="s">
        <v>198</v>
      </c>
      <c r="E22" s="23" t="n">
        <v>2</v>
      </c>
      <c r="F22" s="22" t="s">
        <v>199</v>
      </c>
      <c r="G22" s="22" t="s">
        <v>114</v>
      </c>
      <c r="H22" s="22" t="s">
        <v>142</v>
      </c>
      <c r="I22" s="24"/>
    </row>
    <row r="23" customFormat="false" ht="52.2" hidden="false" customHeight="false" outlineLevel="0" collapsed="false">
      <c r="A23" s="22" t="s">
        <v>100</v>
      </c>
      <c r="B23" s="22" t="s">
        <v>40</v>
      </c>
      <c r="C23" s="22" t="s">
        <v>200</v>
      </c>
      <c r="D23" s="22" t="s">
        <v>201</v>
      </c>
      <c r="E23" s="23" t="n">
        <v>1</v>
      </c>
      <c r="F23" s="22" t="s">
        <v>202</v>
      </c>
      <c r="G23" s="22" t="s">
        <v>141</v>
      </c>
      <c r="H23" s="22" t="s">
        <v>203</v>
      </c>
      <c r="I23" s="24"/>
    </row>
    <row r="24" customFormat="false" ht="39.55" hidden="false" customHeight="false" outlineLevel="0" collapsed="false">
      <c r="A24" s="22" t="s">
        <v>101</v>
      </c>
      <c r="B24" s="22" t="s">
        <v>41</v>
      </c>
      <c r="C24" s="22" t="s">
        <v>204</v>
      </c>
      <c r="D24" s="22" t="s">
        <v>205</v>
      </c>
      <c r="E24" s="23" t="n">
        <v>1</v>
      </c>
      <c r="F24" s="22" t="s">
        <v>206</v>
      </c>
      <c r="G24" s="22" t="s">
        <v>114</v>
      </c>
      <c r="H24" s="22" t="s">
        <v>142</v>
      </c>
      <c r="I24" s="24"/>
    </row>
    <row r="25" customFormat="false" ht="52.2" hidden="false" customHeight="false" outlineLevel="0" collapsed="false">
      <c r="A25" s="22" t="s">
        <v>102</v>
      </c>
      <c r="B25" s="22" t="s">
        <v>42</v>
      </c>
      <c r="C25" s="22" t="s">
        <v>207</v>
      </c>
      <c r="D25" s="22" t="s">
        <v>208</v>
      </c>
      <c r="E25" s="23" t="n">
        <v>0</v>
      </c>
      <c r="F25" s="22" t="s">
        <v>209</v>
      </c>
      <c r="G25" s="22" t="s">
        <v>114</v>
      </c>
      <c r="H25" s="22" t="s">
        <v>142</v>
      </c>
      <c r="I25" s="24"/>
    </row>
    <row r="26" customFormat="false" ht="39.55" hidden="false" customHeight="false" outlineLevel="0" collapsed="false">
      <c r="A26" s="22" t="s">
        <v>103</v>
      </c>
      <c r="B26" s="22" t="s">
        <v>43</v>
      </c>
      <c r="C26" s="22" t="s">
        <v>210</v>
      </c>
      <c r="D26" s="22" t="s">
        <v>211</v>
      </c>
      <c r="E26" s="23" t="n">
        <v>0</v>
      </c>
      <c r="F26" s="22" t="s">
        <v>212</v>
      </c>
      <c r="G26" s="22" t="s">
        <v>114</v>
      </c>
      <c r="H26" s="22" t="s">
        <v>142</v>
      </c>
      <c r="I26" s="24"/>
    </row>
    <row r="27" customFormat="false" ht="39.55" hidden="false" customHeight="false" outlineLevel="0" collapsed="false">
      <c r="A27" s="22" t="s">
        <v>104</v>
      </c>
      <c r="B27" s="22" t="s">
        <v>44</v>
      </c>
      <c r="C27" s="22" t="s">
        <v>213</v>
      </c>
      <c r="D27" s="22" t="s">
        <v>214</v>
      </c>
      <c r="E27" s="23" t="n">
        <v>1</v>
      </c>
      <c r="F27" s="22" t="s">
        <v>215</v>
      </c>
      <c r="G27" s="22" t="s">
        <v>114</v>
      </c>
      <c r="H27" s="22" t="s">
        <v>142</v>
      </c>
      <c r="I27" s="24"/>
    </row>
    <row r="28" customFormat="false" ht="39.55" hidden="false" customHeight="false" outlineLevel="0" collapsed="false">
      <c r="A28" s="22" t="s">
        <v>105</v>
      </c>
      <c r="B28" s="22" t="s">
        <v>45</v>
      </c>
      <c r="C28" s="22" t="s">
        <v>216</v>
      </c>
      <c r="D28" s="22" t="s">
        <v>217</v>
      </c>
      <c r="E28" s="23" t="n">
        <v>0</v>
      </c>
      <c r="F28" s="22" t="s">
        <v>218</v>
      </c>
      <c r="G28" s="22" t="s">
        <v>114</v>
      </c>
      <c r="H28" s="22" t="s">
        <v>142</v>
      </c>
      <c r="I28" s="24"/>
    </row>
    <row r="29" customFormat="false" ht="64.9" hidden="false" customHeight="false" outlineLevel="0" collapsed="false">
      <c r="A29" s="22" t="s">
        <v>106</v>
      </c>
      <c r="B29" s="22" t="s">
        <v>46</v>
      </c>
      <c r="C29" s="22" t="s">
        <v>219</v>
      </c>
      <c r="D29" s="22" t="s">
        <v>220</v>
      </c>
      <c r="E29" s="23" t="n">
        <v>0</v>
      </c>
      <c r="F29" s="22" t="s">
        <v>218</v>
      </c>
      <c r="G29" s="22" t="s">
        <v>114</v>
      </c>
      <c r="H29" s="22" t="s">
        <v>142</v>
      </c>
      <c r="I29" s="24"/>
    </row>
    <row r="30" customFormat="false" ht="52.2" hidden="false" customHeight="false" outlineLevel="0" collapsed="false">
      <c r="A30" s="22" t="s">
        <v>107</v>
      </c>
      <c r="B30" s="22" t="s">
        <v>47</v>
      </c>
      <c r="C30" s="22" t="s">
        <v>221</v>
      </c>
      <c r="D30" s="22" t="s">
        <v>222</v>
      </c>
      <c r="E30" s="23" t="n">
        <v>0</v>
      </c>
      <c r="F30" s="22" t="s">
        <v>223</v>
      </c>
      <c r="G30" s="22" t="s">
        <v>114</v>
      </c>
      <c r="H30" s="22" t="s">
        <v>142</v>
      </c>
      <c r="I30" s="24"/>
    </row>
  </sheetData>
  <mergeCells count="2">
    <mergeCell ref="A2:I2"/>
    <mergeCell ref="A3:I3"/>
  </mergeCells>
  <dataValidations count="1">
    <dataValidation allowBlank="false" error="Nur 0, 1 oder 2" errorStyle="stop" operator="between" showDropDown="false" showErrorMessage="true" showInputMessage="false" sqref="E5:E30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5" t="s">
        <v>224</v>
      </c>
    </row>
    <row r="3" customFormat="false" ht="15" hidden="false" customHeight="false" outlineLevel="0" collapsed="false">
      <c r="A3" s="25" t="s">
        <v>225</v>
      </c>
    </row>
    <row r="4" customFormat="false" ht="15" hidden="false" customHeight="false" outlineLevel="0" collapsed="false">
      <c r="A4" s="26" t="s">
        <v>226</v>
      </c>
      <c r="B4" s="27" t="n">
        <f aca="false">COUNTIFS(Fälle!$A$4:$A$53,"&lt;&gt;",Fälle!$A$4:$A$53,"&lt;&gt;Beispiel")</f>
        <v>0</v>
      </c>
    </row>
    <row r="5" customFormat="false" ht="15" hidden="false" customHeight="false" outlineLevel="0" collapsed="false">
      <c r="A5" s="26" t="s">
        <v>227</v>
      </c>
      <c r="B5" s="27" t="n">
        <f aca="false">COUNTIFS(Fälle!$A$4:$A$53,"&lt;&gt;",Fälle!$A$4:$A$53,"&lt;&gt;Beispiel",Fälle!$AE$4:$AE$53,"&lt;&gt;")</f>
        <v>0</v>
      </c>
    </row>
    <row r="6" customFormat="false" ht="15" hidden="false" customHeight="false" outlineLevel="0" collapsed="false">
      <c r="A6" s="26" t="s">
        <v>228</v>
      </c>
      <c r="B6" s="27" t="n">
        <f aca="false">COUNTIFS(Fälle!$BK$4:$BK$53,"Ja",Fälle!$A$4:$A$53,"&lt;&gt;Beispiel")</f>
        <v>0</v>
      </c>
    </row>
    <row r="7" customFormat="false" ht="15" hidden="false" customHeight="false" outlineLevel="0" collapsed="false">
      <c r="A7" s="26" t="s">
        <v>229</v>
      </c>
      <c r="B7" s="28" t="str">
        <f aca="false">IF(B5=0,"",B6/B5)</f>
        <v/>
      </c>
    </row>
    <row r="8" customFormat="false" ht="15" hidden="false" customHeight="false" outlineLevel="0" collapsed="false">
      <c r="A8" s="26" t="s">
        <v>230</v>
      </c>
      <c r="B8" s="29" t="n">
        <v>0.85</v>
      </c>
      <c r="C8" s="30" t="s">
        <v>231</v>
      </c>
    </row>
    <row r="9" customFormat="false" ht="15" hidden="false" customHeight="false" outlineLevel="0" collapsed="false">
      <c r="A9" s="26" t="s">
        <v>232</v>
      </c>
      <c r="B9" s="31" t="str">
        <f aca="false">IF(OR(B5&lt;20,B7=""),"Offen (unter 20 Fälle)",IF(B7&gt;=B8,"Ja","Nein"))</f>
        <v>Offen (unter 20 Fälle)</v>
      </c>
    </row>
    <row r="12" customFormat="false" ht="15" hidden="false" customHeight="false" outlineLevel="0" collapsed="false">
      <c r="A12" s="25" t="s">
        <v>233</v>
      </c>
    </row>
    <row r="13" customFormat="false" ht="15" hidden="false" customHeight="false" outlineLevel="0" collapsed="false">
      <c r="A13" s="32" t="s">
        <v>234</v>
      </c>
      <c r="B13" s="33" t="s">
        <v>235</v>
      </c>
      <c r="C13" s="33" t="s">
        <v>124</v>
      </c>
      <c r="D13" s="33" t="s">
        <v>236</v>
      </c>
      <c r="E13" s="33" t="s">
        <v>237</v>
      </c>
    </row>
    <row r="14" customFormat="false" ht="15" hidden="false" customHeight="false" outlineLevel="0" collapsed="false">
      <c r="A14" s="34" t="s">
        <v>235</v>
      </c>
      <c r="B14" s="35" t="n">
        <f aca="false">COUNTIFS(Fälle!$AE$4:$AE$53,"Weiterverwendbar",Fälle!$BI$4:$BI$53,"Weiterverwendbar",Fälle!$A$4:$A$53,"&lt;&gt;Beispiel")</f>
        <v>0</v>
      </c>
      <c r="C14" s="36" t="n">
        <f aca="false">COUNTIFS(Fälle!$AE$4:$AE$53,"Weiterverwendbar",Fälle!$BI$4:$BI$53,"Nachrüsten",Fälle!$A$4:$A$53,"&lt;&gt;Beispiel")</f>
        <v>0</v>
      </c>
      <c r="D14" s="36" t="n">
        <f aca="false">COUNTIFS(Fälle!$AE$4:$AE$53,"Weiterverwendbar",Fälle!$BI$4:$BI$53,"Austausch",Fälle!$A$4:$A$53,"&lt;&gt;Beispiel")</f>
        <v>0</v>
      </c>
      <c r="E14" s="36" t="n">
        <f aca="false">COUNTIFS(Fälle!$AE$4:$AE$53,"Weiterverwendbar",Fälle!$BI$4:$BI$53,"Kein Vorhaben",Fälle!$A$4:$A$53,"&lt;&gt;Beispiel")</f>
        <v>0</v>
      </c>
    </row>
    <row r="15" customFormat="false" ht="15" hidden="false" customHeight="false" outlineLevel="0" collapsed="false">
      <c r="A15" s="34" t="s">
        <v>124</v>
      </c>
      <c r="B15" s="36" t="n">
        <f aca="false">COUNTIFS(Fälle!$AE$4:$AE$53,"Nachrüsten",Fälle!$BI$4:$BI$53,"Weiterverwendbar",Fälle!$A$4:$A$53,"&lt;&gt;Beispiel")</f>
        <v>0</v>
      </c>
      <c r="C15" s="35" t="n">
        <f aca="false">COUNTIFS(Fälle!$AE$4:$AE$53,"Nachrüsten",Fälle!$BI$4:$BI$53,"Nachrüsten",Fälle!$A$4:$A$53,"&lt;&gt;Beispiel")</f>
        <v>0</v>
      </c>
      <c r="D15" s="36" t="n">
        <f aca="false">COUNTIFS(Fälle!$AE$4:$AE$53,"Nachrüsten",Fälle!$BI$4:$BI$53,"Austausch",Fälle!$A$4:$A$53,"&lt;&gt;Beispiel")</f>
        <v>0</v>
      </c>
      <c r="E15" s="36" t="n">
        <f aca="false">COUNTIFS(Fälle!$AE$4:$AE$53,"Nachrüsten",Fälle!$BI$4:$BI$53,"Kein Vorhaben",Fälle!$A$4:$A$53,"&lt;&gt;Beispiel")</f>
        <v>0</v>
      </c>
    </row>
    <row r="16" customFormat="false" ht="15" hidden="false" customHeight="false" outlineLevel="0" collapsed="false">
      <c r="A16" s="34" t="s">
        <v>236</v>
      </c>
      <c r="B16" s="36" t="n">
        <f aca="false">COUNTIFS(Fälle!$AE$4:$AE$53,"Austausch",Fälle!$BI$4:$BI$53,"Weiterverwendbar",Fälle!$A$4:$A$53,"&lt;&gt;Beispiel")</f>
        <v>0</v>
      </c>
      <c r="C16" s="36" t="n">
        <f aca="false">COUNTIFS(Fälle!$AE$4:$AE$53,"Austausch",Fälle!$BI$4:$BI$53,"Nachrüsten",Fälle!$A$4:$A$53,"&lt;&gt;Beispiel")</f>
        <v>0</v>
      </c>
      <c r="D16" s="35" t="n">
        <f aca="false">COUNTIFS(Fälle!$AE$4:$AE$53,"Austausch",Fälle!$BI$4:$BI$53,"Austausch",Fälle!$A$4:$A$53,"&lt;&gt;Beispiel")</f>
        <v>0</v>
      </c>
      <c r="E16" s="36" t="n">
        <f aca="false">COUNTIFS(Fälle!$AE$4:$AE$53,"Austausch",Fälle!$BI$4:$BI$53,"Kein Vorhaben",Fälle!$A$4:$A$53,"&lt;&gt;Beispiel")</f>
        <v>0</v>
      </c>
    </row>
    <row r="17" customFormat="false" ht="30" hidden="false" customHeight="true" outlineLevel="0" collapsed="false">
      <c r="A17" s="37" t="s">
        <v>238</v>
      </c>
      <c r="B17" s="37"/>
      <c r="C17" s="37"/>
      <c r="D17" s="37"/>
      <c r="E17" s="37"/>
      <c r="F17" s="37"/>
    </row>
    <row r="19" customFormat="false" ht="15" hidden="false" customHeight="false" outlineLevel="0" collapsed="false">
      <c r="A19" s="25" t="s">
        <v>239</v>
      </c>
    </row>
    <row r="20" customFormat="false" ht="15" hidden="false" customHeight="false" outlineLevel="0" collapsed="false">
      <c r="A20" s="33" t="s">
        <v>240</v>
      </c>
      <c r="B20" s="33" t="s">
        <v>130</v>
      </c>
      <c r="C20" s="33" t="s">
        <v>241</v>
      </c>
      <c r="D20" s="33" t="s">
        <v>242</v>
      </c>
    </row>
    <row r="21" customFormat="false" ht="15" hidden="false" customHeight="false" outlineLevel="0" collapsed="false">
      <c r="A21" s="38" t="str">
        <f aca="false">Regeln!A5</f>
        <v>R01</v>
      </c>
      <c r="B21" s="38" t="str">
        <f aca="false">Regeln!B5</f>
        <v>Zählerplatz nicht weiterverwendbar</v>
      </c>
      <c r="C21" s="38" t="n">
        <f aca="false">Regeln!E5</f>
        <v>2</v>
      </c>
      <c r="D21" s="31" t="n">
        <f aca="false">COUNTIFS(Fälle!$AI$4:$AI$53,"&gt;=0",Fälle!$A$4:$A$53,"&lt;&gt;Beispiel")</f>
        <v>0</v>
      </c>
    </row>
    <row r="22" customFormat="false" ht="15" hidden="false" customHeight="false" outlineLevel="0" collapsed="false">
      <c r="A22" s="38" t="str">
        <f aca="false">Regeln!A6</f>
        <v>R02</v>
      </c>
      <c r="B22" s="38" t="str">
        <f aca="false">Regeln!B6</f>
        <v>Zählerplatzverdrahtung unzureichend</v>
      </c>
      <c r="C22" s="38" t="n">
        <f aca="false">Regeln!E6</f>
        <v>1</v>
      </c>
      <c r="D22" s="31" t="n">
        <f aca="false">COUNTIFS(Fälle!$AJ$4:$AJ$53,"&gt;=0",Fälle!$A$4:$A$53,"&lt;&gt;Beispiel")</f>
        <v>0</v>
      </c>
    </row>
    <row r="23" customFormat="false" ht="15" hidden="false" customHeight="false" outlineLevel="0" collapsed="false">
      <c r="A23" s="38" t="str">
        <f aca="false">Regeln!A7</f>
        <v>R03</v>
      </c>
      <c r="B23" s="38" t="str">
        <f aca="false">Regeln!B7</f>
        <v>Sicherheitsmängel</v>
      </c>
      <c r="C23" s="38" t="n">
        <f aca="false">Regeln!E7</f>
        <v>1</v>
      </c>
      <c r="D23" s="31" t="n">
        <f aca="false">COUNTIFS(Fälle!$AK$4:$AK$53,"&gt;=0",Fälle!$A$4:$A$53,"&lt;&gt;Beispiel")</f>
        <v>0</v>
      </c>
    </row>
    <row r="24" customFormat="false" ht="15" hidden="false" customHeight="false" outlineLevel="0" collapsed="false">
      <c r="A24" s="38" t="str">
        <f aca="false">Regeln!A8</f>
        <v>R04</v>
      </c>
      <c r="B24" s="38" t="str">
        <f aca="false">Regeln!B8</f>
        <v>Kein Raum für Zusatzanwendungen</v>
      </c>
      <c r="C24" s="38" t="n">
        <f aca="false">Regeln!E8</f>
        <v>1</v>
      </c>
      <c r="D24" s="31" t="n">
        <f aca="false">COUNTIFS(Fälle!$AL$4:$AL$53,"&gt;=0",Fälle!$A$4:$A$53,"&lt;&gt;Beispiel")</f>
        <v>0</v>
      </c>
    </row>
    <row r="25" customFormat="false" ht="15" hidden="false" customHeight="false" outlineLevel="0" collapsed="false">
      <c r="A25" s="38" t="str">
        <f aca="false">Regeln!A9</f>
        <v>R05</v>
      </c>
      <c r="B25" s="38" t="str">
        <f aca="false">Regeln!B9</f>
        <v>Modul 2 ohne Zählerplatz</v>
      </c>
      <c r="C25" s="38" t="n">
        <f aca="false">Regeln!E9</f>
        <v>1</v>
      </c>
      <c r="D25" s="31" t="n">
        <f aca="false">COUNTIFS(Fälle!$AM$4:$AM$53,"&gt;=0",Fälle!$A$4:$A$53,"&lt;&gt;Beispiel")</f>
        <v>0</v>
      </c>
    </row>
    <row r="26" customFormat="false" ht="15" hidden="false" customHeight="false" outlineLevel="0" collapsed="false">
      <c r="A26" s="38" t="str">
        <f aca="false">Regeln!A10</f>
        <v>R06</v>
      </c>
      <c r="B26" s="38" t="str">
        <f aca="false">Regeln!B10</f>
        <v>Keine Trennstelle hinter dem Zähler</v>
      </c>
      <c r="C26" s="38" t="n">
        <f aca="false">Regeln!E10</f>
        <v>1</v>
      </c>
      <c r="D26" s="31" t="n">
        <f aca="false">COUNTIFS(Fälle!$AN$4:$AN$53,"&gt;=0",Fälle!$A$4:$A$53,"&lt;&gt;Beispiel")</f>
        <v>0</v>
      </c>
    </row>
    <row r="27" customFormat="false" ht="15" hidden="false" customHeight="false" outlineLevel="0" collapsed="false">
      <c r="A27" s="38" t="str">
        <f aca="false">Regeln!A11</f>
        <v>R07</v>
      </c>
      <c r="B27" s="38" t="str">
        <f aca="false">Regeln!B11</f>
        <v>Kein SPD Typ 1</v>
      </c>
      <c r="C27" s="38" t="n">
        <f aca="false">Regeln!E11</f>
        <v>1</v>
      </c>
      <c r="D27" s="31" t="n">
        <f aca="false">COUNTIFS(Fälle!$AO$4:$AO$53,"&gt;=0",Fälle!$A$4:$A$53,"&lt;&gt;Beispiel")</f>
        <v>0</v>
      </c>
    </row>
    <row r="28" customFormat="false" ht="15" hidden="false" customHeight="false" outlineLevel="0" collapsed="false">
      <c r="A28" s="38" t="str">
        <f aca="false">Regeln!A12</f>
        <v>R08</v>
      </c>
      <c r="B28" s="38" t="str">
        <f aca="false">Regeln!B12</f>
        <v>Wechselstromanschluss</v>
      </c>
      <c r="C28" s="38" t="n">
        <f aca="false">Regeln!E12</f>
        <v>1</v>
      </c>
      <c r="D28" s="31" t="n">
        <f aca="false">COUNTIFS(Fälle!$AP$4:$AP$53,"&gt;=0",Fälle!$A$4:$A$53,"&lt;&gt;Beispiel")</f>
        <v>0</v>
      </c>
    </row>
    <row r="29" customFormat="false" ht="15" hidden="false" customHeight="false" outlineLevel="0" collapsed="false">
      <c r="A29" s="38" t="str">
        <f aca="false">Regeln!A13</f>
        <v>R09</v>
      </c>
      <c r="B29" s="38" t="str">
        <f aca="false">Regeln!B13</f>
        <v>Erdung unklar</v>
      </c>
      <c r="C29" s="38" t="n">
        <f aca="false">Regeln!E13</f>
        <v>0</v>
      </c>
      <c r="D29" s="31" t="n">
        <f aca="false">COUNTIFS(Fälle!$AQ$4:$AQ$53,"&gt;=0",Fälle!$A$4:$A$53,"&lt;&gt;Beispiel")</f>
        <v>0</v>
      </c>
    </row>
    <row r="30" customFormat="false" ht="15" hidden="false" customHeight="false" outlineLevel="0" collapsed="false">
      <c r="A30" s="38" t="str">
        <f aca="false">Regeln!A14</f>
        <v>R10</v>
      </c>
      <c r="B30" s="38" t="str">
        <f aca="false">Regeln!B14</f>
        <v>Netzform TN-C / unklar</v>
      </c>
      <c r="C30" s="38" t="n">
        <f aca="false">Regeln!E14</f>
        <v>0</v>
      </c>
      <c r="D30" s="31" t="n">
        <f aca="false">COUNTIFS(Fälle!$AR$4:$AR$53,"&gt;=0",Fälle!$A$4:$A$53,"&lt;&gt;Beispiel")</f>
        <v>0</v>
      </c>
    </row>
    <row r="31" customFormat="false" ht="15" hidden="false" customHeight="false" outlineLevel="0" collapsed="false">
      <c r="A31" s="38" t="str">
        <f aca="false">Regeln!A15</f>
        <v>R11</v>
      </c>
      <c r="B31" s="38" t="str">
        <f aca="false">Regeln!B15</f>
        <v>Leistungsbilanz knapp</v>
      </c>
      <c r="C31" s="38" t="n">
        <f aca="false">Regeln!E15</f>
        <v>0</v>
      </c>
      <c r="D31" s="31" t="n">
        <f aca="false">COUNTIFS(Fälle!$AS$4:$AS$53,"&gt;=0",Fälle!$A$4:$A$53,"&lt;&gt;Beispiel")</f>
        <v>0</v>
      </c>
    </row>
    <row r="32" customFormat="false" ht="15" hidden="false" customHeight="false" outlineLevel="0" collapsed="false">
      <c r="A32" s="38" t="str">
        <f aca="false">Regeln!A16</f>
        <v>R12</v>
      </c>
      <c r="B32" s="38" t="str">
        <f aca="false">Regeln!B16</f>
        <v>Wallbox &gt; 12 kVA</v>
      </c>
      <c r="C32" s="38" t="n">
        <f aca="false">Regeln!E16</f>
        <v>0</v>
      </c>
      <c r="D32" s="31" t="n">
        <f aca="false">COUNTIFS(Fälle!$AT$4:$AT$53,"&gt;=0",Fälle!$A$4:$A$53,"&lt;&gt;Beispiel")</f>
        <v>0</v>
      </c>
    </row>
    <row r="33" customFormat="false" ht="15" hidden="false" customHeight="false" outlineLevel="0" collapsed="false">
      <c r="A33" s="38" t="str">
        <f aca="false">Regeln!A17</f>
        <v>R13</v>
      </c>
      <c r="B33" s="38" t="str">
        <f aca="false">Regeln!B17</f>
        <v>Bauart unbekannt</v>
      </c>
      <c r="C33" s="38" t="n">
        <f aca="false">Regeln!E17</f>
        <v>0</v>
      </c>
      <c r="D33" s="31" t="n">
        <f aca="false">COUNTIFS(Fälle!$AU$4:$AU$53,"&gt;=0",Fälle!$A$4:$A$53,"&lt;&gt;Beispiel")</f>
        <v>0</v>
      </c>
    </row>
    <row r="34" customFormat="false" ht="15" hidden="false" customHeight="false" outlineLevel="0" collapsed="false">
      <c r="A34" s="38" t="str">
        <f aca="false">Regeln!A18</f>
        <v>R14</v>
      </c>
      <c r="B34" s="38" t="str">
        <f aca="false">Regeln!B18</f>
        <v>DIN-43870-Schrank nur mit Anpassung</v>
      </c>
      <c r="C34" s="38" t="n">
        <f aca="false">Regeln!E18</f>
        <v>1</v>
      </c>
      <c r="D34" s="31" t="n">
        <f aca="false">COUNTIFS(Fälle!$AV$4:$AV$53,"&gt;=0",Fälle!$A$4:$A$53,"&lt;&gt;Beispiel")</f>
        <v>0</v>
      </c>
    </row>
    <row r="35" customFormat="false" ht="15" hidden="false" customHeight="false" outlineLevel="0" collapsed="false">
      <c r="A35" s="38" t="str">
        <f aca="false">Regeln!A19</f>
        <v>R15</v>
      </c>
      <c r="B35" s="38" t="str">
        <f aca="false">Regeln!B19</f>
        <v>Keine RJ45-Buchse „CLS“</v>
      </c>
      <c r="C35" s="38" t="n">
        <f aca="false">Regeln!E19</f>
        <v>1</v>
      </c>
      <c r="D35" s="31" t="n">
        <f aca="false">COUNTIFS(Fälle!$AW$4:$AW$53,"&gt;=0",Fälle!$A$4:$A$53,"&lt;&gt;Beispiel")</f>
        <v>0</v>
      </c>
    </row>
    <row r="36" customFormat="false" ht="15" hidden="false" customHeight="false" outlineLevel="0" collapsed="false">
      <c r="A36" s="38" t="str">
        <f aca="false">Regeln!A20</f>
        <v>R16</v>
      </c>
      <c r="B36" s="38" t="str">
        <f aca="false">Regeln!B20</f>
        <v>Relaissteuerung ohne Steuersignal-Klemmleiste</v>
      </c>
      <c r="C36" s="38" t="n">
        <f aca="false">Regeln!E20</f>
        <v>1</v>
      </c>
      <c r="D36" s="31" t="n">
        <f aca="false">COUNTIFS(Fälle!$AX$4:$AX$53,"&gt;=0",Fälle!$A$4:$A$53,"&lt;&gt;Beispiel")</f>
        <v>0</v>
      </c>
    </row>
    <row r="37" customFormat="false" ht="15" hidden="false" customHeight="false" outlineLevel="0" collapsed="false">
      <c r="A37" s="38" t="str">
        <f aca="false">Regeln!A21</f>
        <v>R17</v>
      </c>
      <c r="B37" s="38" t="str">
        <f aca="false">Regeln!B21</f>
        <v>Keine Datenleitung zur SteuVE</v>
      </c>
      <c r="C37" s="38" t="n">
        <f aca="false">Regeln!E21</f>
        <v>1</v>
      </c>
      <c r="D37" s="31" t="n">
        <f aca="false">COUNTIFS(Fälle!$AY$4:$AY$53,"&gt;=0",Fälle!$A$4:$A$53,"&lt;&gt;Beispiel")</f>
        <v>0</v>
      </c>
    </row>
    <row r="38" customFormat="false" ht="15" hidden="false" customHeight="false" outlineLevel="0" collapsed="false">
      <c r="A38" s="38" t="str">
        <f aca="false">Regeln!A22</f>
        <v>R18</v>
      </c>
      <c r="B38" s="38" t="str">
        <f aca="false">Regeln!B22</f>
        <v>Direktmessung überschritten</v>
      </c>
      <c r="C38" s="38" t="n">
        <f aca="false">Regeln!E22</f>
        <v>2</v>
      </c>
      <c r="D38" s="31" t="n">
        <f aca="false">COUNTIFS(Fälle!$AZ$4:$AZ$53,"&gt;=0",Fälle!$A$4:$A$53,"&lt;&gt;Beispiel")</f>
        <v>0</v>
      </c>
    </row>
    <row r="39" customFormat="false" ht="15" hidden="false" customHeight="false" outlineLevel="0" collapsed="false">
      <c r="A39" s="38" t="str">
        <f aca="false">Regeln!A23</f>
        <v>R19</v>
      </c>
      <c r="B39" s="38" t="str">
        <f aca="false">Regeln!B23</f>
        <v>Verdrahtung 10 mm² zu schwach</v>
      </c>
      <c r="C39" s="38" t="n">
        <f aca="false">Regeln!E23</f>
        <v>1</v>
      </c>
      <c r="D39" s="31" t="n">
        <f aca="false">COUNTIFS(Fälle!$BA$4:$BA$53,"&gt;=0",Fälle!$A$4:$A$53,"&lt;&gt;Beispiel")</f>
        <v>0</v>
      </c>
    </row>
    <row r="40" customFormat="false" ht="15" hidden="false" customHeight="false" outlineLevel="0" collapsed="false">
      <c r="A40" s="38" t="str">
        <f aca="false">Regeln!A24</f>
        <v>R20</v>
      </c>
      <c r="B40" s="38" t="str">
        <f aca="false">Regeln!B24</f>
        <v>PV ≥ 25 kWp ohne FRE</v>
      </c>
      <c r="C40" s="38" t="n">
        <f aca="false">Regeln!E24</f>
        <v>1</v>
      </c>
      <c r="D40" s="31" t="n">
        <f aca="false">COUNTIFS(Fälle!$BB$4:$BB$53,"&gt;=0",Fälle!$A$4:$A$53,"&lt;&gt;Beispiel")</f>
        <v>0</v>
      </c>
    </row>
    <row r="41" customFormat="false" ht="15" hidden="false" customHeight="false" outlineLevel="0" collapsed="false">
      <c r="A41" s="38" t="str">
        <f aca="false">Regeln!A25</f>
        <v>R21</v>
      </c>
      <c r="B41" s="38" t="str">
        <f aca="false">Regeln!B25</f>
        <v>PV mit Smart-Meter-Steuerung</v>
      </c>
      <c r="C41" s="38" t="n">
        <f aca="false">Regeln!E25</f>
        <v>0</v>
      </c>
      <c r="D41" s="31" t="n">
        <f aca="false">COUNTIFS(Fälle!$BC$4:$BC$53,"&gt;=0",Fälle!$A$4:$A$53,"&lt;&gt;Beispiel")</f>
        <v>0</v>
      </c>
    </row>
    <row r="42" customFormat="false" ht="15" hidden="false" customHeight="false" outlineLevel="0" collapsed="false">
      <c r="A42" s="38" t="str">
        <f aca="false">Regeln!A26</f>
        <v>R22</v>
      </c>
      <c r="B42" s="38" t="str">
        <f aca="false">Regeln!B26</f>
        <v>Zählerauftrag durch Westnetz</v>
      </c>
      <c r="C42" s="38" t="n">
        <f aca="false">Regeln!E26</f>
        <v>0</v>
      </c>
      <c r="D42" s="31" t="n">
        <f aca="false">COUNTIFS(Fälle!$BD$4:$BD$53,"&gt;=0",Fälle!$A$4:$A$53,"&lt;&gt;Beispiel")</f>
        <v>0</v>
      </c>
    </row>
    <row r="43" customFormat="false" ht="15" hidden="false" customHeight="false" outlineLevel="0" collapsed="false">
      <c r="A43" s="38" t="str">
        <f aca="false">Regeln!A27</f>
        <v>R23</v>
      </c>
      <c r="B43" s="38" t="str">
        <f aca="false">Regeln!B27</f>
        <v>3-Punkt-Zähler bei Relaissteuerung</v>
      </c>
      <c r="C43" s="38" t="n">
        <f aca="false">Regeln!E27</f>
        <v>1</v>
      </c>
      <c r="D43" s="31" t="n">
        <f aca="false">COUNTIFS(Fälle!$BE$4:$BE$53,"&gt;=0",Fälle!$A$4:$A$53,"&lt;&gt;Beispiel")</f>
        <v>0</v>
      </c>
    </row>
    <row r="44" customFormat="false" ht="15" hidden="false" customHeight="false" outlineLevel="0" collapsed="false">
      <c r="A44" s="38" t="str">
        <f aca="false">Regeln!A28</f>
        <v>R24</v>
      </c>
      <c r="B44" s="38" t="str">
        <f aca="false">Regeln!B28</f>
        <v>PV: 60 %-Begrenzung bis SMGW</v>
      </c>
      <c r="C44" s="38" t="n">
        <f aca="false">Regeln!E28</f>
        <v>0</v>
      </c>
      <c r="D44" s="31" t="n">
        <f aca="false">COUNTIFS(Fälle!$BF$4:$BF$53,"&gt;=0",Fälle!$A$4:$A$53,"&lt;&gt;Beispiel")</f>
        <v>0</v>
      </c>
    </row>
    <row r="45" customFormat="false" ht="15" hidden="false" customHeight="false" outlineLevel="0" collapsed="false">
      <c r="A45" s="38" t="str">
        <f aca="false">Regeln!A29</f>
        <v>R25</v>
      </c>
      <c r="B45" s="38" t="str">
        <f aca="false">Regeln!B29</f>
        <v>Speicher-Betriebsweise klären</v>
      </c>
      <c r="C45" s="38" t="n">
        <f aca="false">Regeln!E29</f>
        <v>0</v>
      </c>
      <c r="D45" s="31" t="n">
        <f aca="false">COUNTIFS(Fälle!$BG$4:$BG$53,"&gt;=0",Fälle!$A$4:$A$53,"&lt;&gt;Beispiel")</f>
        <v>0</v>
      </c>
    </row>
    <row r="46" customFormat="false" ht="15" hidden="false" customHeight="false" outlineLevel="0" collapsed="false">
      <c r="A46" s="38" t="str">
        <f aca="false">Regeln!A30</f>
        <v>R26</v>
      </c>
      <c r="B46" s="38" t="str">
        <f aca="false">Regeln!B30</f>
        <v>Relaissteuerung nur bis 2028</v>
      </c>
      <c r="C46" s="38" t="n">
        <f aca="false">Regeln!E30</f>
        <v>0</v>
      </c>
      <c r="D46" s="31" t="n">
        <f aca="false">COUNTIFS(Fälle!$BH$4:$BH$53,"&gt;=0",Fälle!$A$4:$A$53,"&lt;&gt;Beispiel")</f>
        <v>0</v>
      </c>
    </row>
    <row r="49" customFormat="false" ht="15" hidden="false" customHeight="false" outlineLevel="0" collapsed="false">
      <c r="A49" s="25" t="s">
        <v>243</v>
      </c>
    </row>
    <row r="50" customFormat="false" ht="15" hidden="false" customHeight="false" outlineLevel="0" collapsed="false">
      <c r="A50" s="33" t="s">
        <v>244</v>
      </c>
      <c r="B50" s="33" t="s">
        <v>245</v>
      </c>
      <c r="C50" s="33" t="s">
        <v>246</v>
      </c>
      <c r="D50" s="33" t="s">
        <v>247</v>
      </c>
    </row>
    <row r="51" customFormat="false" ht="30" hidden="false" customHeight="true" outlineLevel="0" collapsed="false">
      <c r="A51" s="2" t="s">
        <v>248</v>
      </c>
      <c r="B51" s="39"/>
      <c r="C51" s="40" t="n">
        <v>10</v>
      </c>
      <c r="D51" s="41" t="str">
        <f aca="false">IF(B51="","Offen",IF(B51&gt;=C51,"Ja","Nein"))</f>
        <v>Offen</v>
      </c>
    </row>
    <row r="52" customFormat="false" ht="30" hidden="false" customHeight="true" outlineLevel="0" collapsed="false">
      <c r="A52" s="2" t="s">
        <v>249</v>
      </c>
      <c r="B52" s="39"/>
      <c r="C52" s="40" t="n">
        <v>5</v>
      </c>
      <c r="D52" s="41" t="str">
        <f aca="false">IF(B52="","Offen",IF(B52&gt;=C52,"Ja","Nein"))</f>
        <v>Offen</v>
      </c>
    </row>
    <row r="53" customFormat="false" ht="30" hidden="false" customHeight="true" outlineLevel="0" collapsed="false">
      <c r="A53" s="2" t="s">
        <v>250</v>
      </c>
      <c r="B53" s="28" t="str">
        <f aca="false">IF(B5&lt;20,"",B7)</f>
        <v/>
      </c>
      <c r="C53" s="28" t="n">
        <f aca="false">B8</f>
        <v>0.85</v>
      </c>
      <c r="D53" s="41" t="str">
        <f aca="false">IF(B53="","Offen",IF(B53&gt;=C53,"Ja","Nein"))</f>
        <v>Offen</v>
      </c>
    </row>
    <row r="54" customFormat="false" ht="30" hidden="false" customHeight="true" outlineLevel="0" collapsed="false">
      <c r="A54" s="2" t="s">
        <v>251</v>
      </c>
      <c r="B54" s="39"/>
      <c r="C54" s="40" t="n">
        <v>100</v>
      </c>
      <c r="D54" s="41" t="str">
        <f aca="false">IF(B54="","Offen",IF(B54&gt;=C54,"Ja","Nein"))</f>
        <v>Offen</v>
      </c>
    </row>
    <row r="56" customFormat="false" ht="15" hidden="false" customHeight="false" outlineLevel="0" collapsed="false">
      <c r="A56" s="34" t="s">
        <v>252</v>
      </c>
      <c r="B56" s="34" t="n">
        <f aca="false">COUNTIF(D51:D54,"Ja")</f>
        <v>0</v>
      </c>
    </row>
    <row r="57" customFormat="false" ht="15" hidden="false" customHeight="false" outlineLevel="0" collapsed="false">
      <c r="A57" s="25" t="s">
        <v>253</v>
      </c>
      <c r="B57" s="42" t="str">
        <f aca="false">IF(COUNTIF(D51:D54,"Offen")&gt;0,"Noch offen – weiter validieren",IF(B56&gt;=3,"GO: MVP bauen","NO-GO: Wissen als Schulung/Checkliste verkaufen"))</f>
        <v>Noch offen – weiter validieren</v>
      </c>
      <c r="C57" s="42"/>
      <c r="D57" s="42"/>
      <c r="E57" s="42"/>
      <c r="F57" s="42"/>
    </row>
  </sheetData>
  <mergeCells count="2">
    <mergeCell ref="A17:F17"/>
    <mergeCell ref="B57:F57"/>
  </mergeCells>
  <conditionalFormatting sqref="D51:D54">
    <cfRule type="cellIs" priority="2" operator="equal" aboveAverage="0" equalAverage="0" bottom="0" percent="0" rank="0" text="" dxfId="4">
      <formula>"Ja"</formula>
    </cfRule>
    <cfRule type="cellIs" priority="3" operator="equal" aboveAverage="0" equalAverage="0" bottom="0" percent="0" rank="0" text="" dxfId="5">
      <formula>"Nein"</formula>
    </cfRule>
  </conditionalFormatting>
  <conditionalFormatting sqref="B57">
    <cfRule type="expression" priority="4" aboveAverage="0" equalAverage="0" bottom="0" percent="0" rank="0" text="" dxfId="4">
      <formula>LEFT(B57,2)="GO"</formula>
    </cfRule>
    <cfRule type="expression" priority="5" aboveAverage="0" equalAverage="0" bottom="0" percent="0" rank="0" text="" dxfId="5">
      <formula>LEFT(B57,5)="NO-GO"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30"/>
  </cols>
  <sheetData>
    <row r="1" customFormat="false" ht="15" hidden="false" customHeight="false" outlineLevel="0" collapsed="false">
      <c r="A1" s="34" t="s">
        <v>254</v>
      </c>
      <c r="B1" s="34" t="s">
        <v>255</v>
      </c>
      <c r="C1" s="34" t="s">
        <v>256</v>
      </c>
      <c r="D1" s="34" t="s">
        <v>257</v>
      </c>
      <c r="E1" s="34" t="s">
        <v>258</v>
      </c>
      <c r="F1" s="34" t="s">
        <v>259</v>
      </c>
      <c r="G1" s="34" t="s">
        <v>66</v>
      </c>
      <c r="H1" s="34" t="s">
        <v>260</v>
      </c>
      <c r="I1" s="34" t="s">
        <v>261</v>
      </c>
      <c r="J1" s="34" t="s">
        <v>262</v>
      </c>
    </row>
    <row r="2" customFormat="false" ht="15" hidden="false" customHeight="false" outlineLevel="0" collapsed="false">
      <c r="A2" s="26" t="s">
        <v>115</v>
      </c>
      <c r="B2" s="26" t="s">
        <v>115</v>
      </c>
      <c r="C2" s="26" t="s">
        <v>117</v>
      </c>
      <c r="D2" s="26" t="s">
        <v>263</v>
      </c>
      <c r="E2" s="26" t="s">
        <v>119</v>
      </c>
      <c r="F2" s="26" t="s">
        <v>264</v>
      </c>
      <c r="G2" s="26" t="s">
        <v>265</v>
      </c>
      <c r="H2" s="26" t="s">
        <v>235</v>
      </c>
      <c r="I2" s="26" t="s">
        <v>266</v>
      </c>
      <c r="J2" s="26" t="s">
        <v>122</v>
      </c>
    </row>
    <row r="3" customFormat="false" ht="15" hidden="false" customHeight="false" outlineLevel="0" collapsed="false">
      <c r="A3" s="26" t="s">
        <v>116</v>
      </c>
      <c r="B3" s="26" t="s">
        <v>116</v>
      </c>
      <c r="C3" s="26" t="s">
        <v>267</v>
      </c>
      <c r="D3" s="26" t="s">
        <v>268</v>
      </c>
      <c r="E3" s="26" t="s">
        <v>269</v>
      </c>
      <c r="F3" s="26" t="s">
        <v>120</v>
      </c>
      <c r="G3" s="26" t="s">
        <v>121</v>
      </c>
      <c r="H3" s="26" t="s">
        <v>124</v>
      </c>
      <c r="I3" s="26" t="s">
        <v>123</v>
      </c>
      <c r="J3" s="26" t="s">
        <v>270</v>
      </c>
    </row>
    <row r="4" customFormat="false" ht="15" hidden="false" customHeight="false" outlineLevel="0" collapsed="false">
      <c r="B4" s="26" t="s">
        <v>271</v>
      </c>
      <c r="C4" s="26" t="s">
        <v>272</v>
      </c>
      <c r="D4" s="26" t="s">
        <v>273</v>
      </c>
      <c r="G4" s="26" t="s">
        <v>274</v>
      </c>
      <c r="H4" s="26" t="s">
        <v>236</v>
      </c>
      <c r="I4" s="26" t="s">
        <v>275</v>
      </c>
      <c r="J4" s="26" t="s">
        <v>276</v>
      </c>
    </row>
    <row r="5" customFormat="false" ht="15" hidden="false" customHeight="false" outlineLevel="0" collapsed="false">
      <c r="C5" s="26" t="s">
        <v>277</v>
      </c>
      <c r="D5" s="26" t="s">
        <v>278</v>
      </c>
      <c r="G5" s="26" t="s">
        <v>279</v>
      </c>
      <c r="I5" s="26" t="s">
        <v>271</v>
      </c>
      <c r="J5" s="26" t="s">
        <v>280</v>
      </c>
    </row>
    <row r="6" customFormat="false" ht="15" hidden="false" customHeight="false" outlineLevel="0" collapsed="false">
      <c r="D6" s="26" t="s">
        <v>118</v>
      </c>
      <c r="G6" s="26" t="s">
        <v>271</v>
      </c>
    </row>
    <row r="7" customFormat="false" ht="15" hidden="false" customHeight="false" outlineLevel="0" collapsed="false">
      <c r="D7" s="26" t="s">
        <v>281</v>
      </c>
    </row>
    <row r="8" customFormat="false" ht="15" hidden="false" customHeight="false" outlineLevel="0" collapsed="false">
      <c r="D8" s="26" t="s">
        <v>282</v>
      </c>
    </row>
    <row r="9" customFormat="false" ht="15" hidden="false" customHeight="false" outlineLevel="0" collapsed="false">
      <c r="D9" s="26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2026-09-29T07:12:37Z</dcterms:created>
  <dc:creator>openpyxl</dc:creator>
  <dc:description/>
  <dc:language>en-US</dc:language>
  <cp:lastModifiedBy/>
  <dcterms:modified xsi:type="dcterms:W3CDTF">2026-09-29T07:12:38Z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